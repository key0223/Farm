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tfdkg\UnityProject\Farm\Sheets\"/>
    </mc:Choice>
  </mc:AlternateContent>
  <xr:revisionPtr revIDLastSave="0" documentId="13_ncr:1_{19B7DA06-3B99-459D-8143-F3F142803D10}" xr6:coauthVersionLast="47" xr6:coauthVersionMax="47" xr10:uidLastSave="{00000000-0000-0000-0000-000000000000}"/>
  <bookViews>
    <workbookView xWindow="-28920" yWindow="-120" windowWidth="29040" windowHeight="15720" activeTab="3" xr2:uid="{62B5C00F-698F-4EE8-88B3-1AC2C87E7411}"/>
  </bookViews>
  <sheets>
    <sheet name="Objects" sheetId="6" r:id="rId1"/>
    <sheet name="Tools" sheetId="20" r:id="rId2"/>
    <sheet name="Crops" sheetId="19" r:id="rId3"/>
    <sheet name="Recipes" sheetId="21" r:id="rId4"/>
  </sheets>
  <definedNames>
    <definedName name="_xlnm._FilterDatabase" localSheetId="2" hidden="1">Crops!$A$4:$G$37</definedName>
    <definedName name="_xlnm._FilterDatabase" localSheetId="0" hidden="1">Objects!$A$4:$Q$76</definedName>
    <definedName name="_xlnm._FilterDatabase" localSheetId="3" hidden="1">Recipes!$A$4:$C$76</definedName>
    <definedName name="_xlnm._FilterDatabase" localSheetId="1" hidden="1">Tools!$A$4:$Q$76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6" l="1" a="1"/>
  <c r="G6" i="6" s="1"/>
  <c r="G7" i="6" a="1"/>
  <c r="G7" i="6" s="1"/>
  <c r="G8" i="6" a="1"/>
  <c r="G8" i="6" s="1"/>
  <c r="G9" i="6" a="1"/>
  <c r="G9" i="6" s="1"/>
  <c r="G10" i="6" a="1"/>
  <c r="G10" i="6" s="1"/>
  <c r="G11" i="6" a="1"/>
  <c r="G11" i="6" s="1"/>
  <c r="G12" i="6" a="1"/>
  <c r="G12" i="6" s="1"/>
  <c r="G13" i="6" a="1"/>
  <c r="G13" i="6" s="1"/>
  <c r="G14" i="6" a="1"/>
  <c r="G14" i="6" s="1"/>
  <c r="G15" i="6" a="1"/>
  <c r="G15" i="6" s="1"/>
  <c r="G16" i="6" a="1"/>
  <c r="G16" i="6"/>
  <c r="G17" i="6" a="1"/>
  <c r="G17" i="6" s="1"/>
  <c r="G18" i="6" a="1"/>
  <c r="G18" i="6" s="1"/>
  <c r="G19" i="6" a="1"/>
  <c r="G19" i="6" s="1"/>
  <c r="G20" i="6" a="1"/>
  <c r="G20" i="6" s="1"/>
  <c r="G21" i="6" a="1"/>
  <c r="G21" i="6" s="1"/>
  <c r="G22" i="6" a="1"/>
  <c r="G22" i="6"/>
  <c r="G23" i="6" a="1"/>
  <c r="G23" i="6" s="1"/>
  <c r="G24" i="6" a="1"/>
  <c r="G24" i="6" s="1"/>
  <c r="G25" i="6" a="1"/>
  <c r="G25" i="6" s="1"/>
  <c r="G26" i="6" a="1"/>
  <c r="G26" i="6" s="1"/>
  <c r="G27" i="6" a="1"/>
  <c r="G27" i="6" s="1"/>
  <c r="G28" i="6" a="1"/>
  <c r="G28" i="6"/>
  <c r="G29" i="6" a="1"/>
  <c r="G29" i="6" s="1"/>
  <c r="G30" i="6" a="1"/>
  <c r="G30" i="6" s="1"/>
  <c r="G31" i="6" a="1"/>
  <c r="G31" i="6" s="1"/>
  <c r="G32" i="6" a="1"/>
  <c r="G32" i="6" s="1"/>
  <c r="G33" i="6" a="1"/>
  <c r="G33" i="6" s="1"/>
  <c r="G34" i="6" a="1"/>
  <c r="G34" i="6"/>
  <c r="G35" i="6" a="1"/>
  <c r="G35" i="6" s="1"/>
  <c r="G36" i="6" a="1"/>
  <c r="G36" i="6" s="1"/>
  <c r="G37" i="6" a="1"/>
  <c r="G37" i="6" s="1"/>
  <c r="G38" i="6" a="1"/>
  <c r="G38" i="6" s="1"/>
  <c r="G39" i="6" a="1"/>
  <c r="G39" i="6" s="1"/>
  <c r="G40" i="6" a="1"/>
  <c r="G40" i="6"/>
  <c r="G41" i="6" a="1"/>
  <c r="G41" i="6" s="1"/>
  <c r="G42" i="6" a="1"/>
  <c r="G42" i="6" s="1"/>
  <c r="G43" i="6" a="1"/>
  <c r="G43" i="6" s="1"/>
  <c r="G44" i="6" a="1"/>
  <c r="G44" i="6" s="1"/>
  <c r="G45" i="6" a="1"/>
  <c r="G45" i="6" s="1"/>
  <c r="G46" i="6" a="1"/>
  <c r="G46" i="6"/>
  <c r="G47" i="6" a="1"/>
  <c r="G47" i="6" s="1"/>
  <c r="G48" i="6" a="1"/>
  <c r="G48" i="6" s="1"/>
  <c r="G49" i="6" a="1"/>
  <c r="G49" i="6" s="1"/>
  <c r="G50" i="6" a="1"/>
  <c r="G50" i="6" s="1"/>
  <c r="G51" i="6" a="1"/>
  <c r="G51" i="6" s="1"/>
  <c r="G52" i="6" a="1"/>
  <c r="G52" i="6"/>
  <c r="G53" i="6" a="1"/>
  <c r="G53" i="6" s="1"/>
  <c r="G54" i="6" a="1"/>
  <c r="G54" i="6" s="1"/>
  <c r="G55" i="6" a="1"/>
  <c r="G55" i="6" s="1"/>
  <c r="G56" i="6" a="1"/>
  <c r="G56" i="6" s="1"/>
  <c r="G57" i="6" a="1"/>
  <c r="G57" i="6" s="1"/>
  <c r="G58" i="6" a="1"/>
  <c r="G58" i="6"/>
  <c r="G5" i="6" a="1"/>
  <c r="G5" i="6" s="1"/>
  <c r="D32" i="6"/>
  <c r="D33" i="6"/>
  <c r="D34" i="6"/>
  <c r="D35" i="6"/>
  <c r="D36" i="6"/>
  <c r="C32" i="6"/>
  <c r="C33" i="6"/>
  <c r="C34" i="6"/>
  <c r="C35" i="6"/>
  <c r="C36" i="6"/>
  <c r="D54" i="6"/>
  <c r="D55" i="6"/>
  <c r="D56" i="6"/>
  <c r="D57" i="6"/>
  <c r="D58" i="6"/>
  <c r="C54" i="6"/>
  <c r="C55" i="6"/>
  <c r="C56" i="6"/>
  <c r="C57" i="6"/>
  <c r="C58" i="6"/>
  <c r="C31" i="6"/>
  <c r="D31" i="6"/>
  <c r="D30" i="6"/>
  <c r="C30" i="6"/>
  <c r="C29" i="6"/>
  <c r="D29" i="6"/>
  <c r="G6" i="20" a="1"/>
  <c r="G6" i="20" s="1"/>
  <c r="G7" i="20" a="1"/>
  <c r="G7" i="20" s="1"/>
  <c r="G8" i="20" a="1"/>
  <c r="G8" i="20" s="1"/>
  <c r="G9" i="20" a="1"/>
  <c r="G9" i="20"/>
  <c r="G10" i="20" a="1"/>
  <c r="G10" i="20" s="1"/>
  <c r="G11" i="20" a="1"/>
  <c r="G11" i="20"/>
  <c r="G12" i="20" a="1"/>
  <c r="G12" i="20" s="1"/>
  <c r="G13" i="20" a="1"/>
  <c r="G13" i="20" s="1"/>
  <c r="G14" i="20" a="1"/>
  <c r="G14" i="20" s="1"/>
  <c r="G15" i="20" a="1"/>
  <c r="G15" i="20"/>
  <c r="G16" i="20" a="1"/>
  <c r="G16" i="20" s="1"/>
  <c r="G17" i="20" a="1"/>
  <c r="G17" i="20"/>
  <c r="G18" i="20" a="1"/>
  <c r="G18" i="20" s="1"/>
  <c r="G19" i="20" a="1"/>
  <c r="G19" i="20" s="1"/>
  <c r="G20" i="20" a="1"/>
  <c r="G20" i="20" s="1"/>
  <c r="G21" i="20" a="1"/>
  <c r="G21" i="20"/>
  <c r="G22" i="20" a="1"/>
  <c r="G22" i="20" s="1"/>
  <c r="G23" i="20" a="1"/>
  <c r="G23" i="20" s="1"/>
  <c r="G24" i="20" a="1"/>
  <c r="G24" i="20" s="1"/>
  <c r="G5" i="20" a="1"/>
  <c r="G5" i="20" s="1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5" i="20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" i="6"/>
  <c r="A6" i="19"/>
  <c r="A7" i="19"/>
  <c r="A8" i="19"/>
  <c r="A9" i="19"/>
  <c r="A10" i="19"/>
  <c r="A11" i="19"/>
  <c r="A12" i="19"/>
  <c r="A13" i="19"/>
  <c r="A14" i="19"/>
  <c r="A15" i="19"/>
  <c r="A5" i="19"/>
  <c r="F6" i="19"/>
  <c r="F7" i="19"/>
  <c r="F8" i="19"/>
  <c r="F9" i="19"/>
  <c r="F10" i="19"/>
  <c r="F11" i="19"/>
  <c r="F12" i="19"/>
  <c r="F13" i="19"/>
  <c r="F14" i="19"/>
  <c r="F15" i="19"/>
  <c r="F5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<sst xmlns="http://schemas.openxmlformats.org/spreadsheetml/2006/main" count="601" uniqueCount="182">
  <si>
    <t>Parsnip Seeds</t>
    <phoneticPr fontId="1" type="noConversion"/>
  </si>
  <si>
    <t>Cauliflower Seeds</t>
    <phoneticPr fontId="1" type="noConversion"/>
  </si>
  <si>
    <t>Potato Seeds</t>
    <phoneticPr fontId="1" type="noConversion"/>
  </si>
  <si>
    <t>Kale Seeds</t>
    <phoneticPr fontId="1" type="noConversion"/>
  </si>
  <si>
    <t>Radish Seeds</t>
    <phoneticPr fontId="1" type="noConversion"/>
  </si>
  <si>
    <t>Parsnip</t>
    <phoneticPr fontId="1" type="noConversion"/>
  </si>
  <si>
    <t>Cauliflower</t>
    <phoneticPr fontId="1" type="noConversion"/>
  </si>
  <si>
    <t>Potato</t>
    <phoneticPr fontId="1" type="noConversion"/>
  </si>
  <si>
    <t>Wheat Seeds</t>
    <phoneticPr fontId="1" type="noConversion"/>
  </si>
  <si>
    <t>Wheat</t>
    <phoneticPr fontId="1" type="noConversion"/>
  </si>
  <si>
    <t>Radish</t>
    <phoneticPr fontId="1" type="noConversion"/>
  </si>
  <si>
    <t>Red Cabbage</t>
    <phoneticPr fontId="1" type="noConversion"/>
  </si>
  <si>
    <t>Pumpkin</t>
    <phoneticPr fontId="1" type="noConversion"/>
  </si>
  <si>
    <t>Kale</t>
    <phoneticPr fontId="1" type="noConversion"/>
  </si>
  <si>
    <t>SPRING</t>
  </si>
  <si>
    <t>SUMMER</t>
  </si>
  <si>
    <t>Wood</t>
    <phoneticPr fontId="1" type="noConversion"/>
  </si>
  <si>
    <t>$Id$</t>
    <phoneticPr fontId="1" type="noConversion"/>
  </si>
  <si>
    <t>$Name$</t>
    <phoneticPr fontId="1" type="noConversion"/>
  </si>
  <si>
    <t>$DisplayName$</t>
    <phoneticPr fontId="1" type="noConversion"/>
  </si>
  <si>
    <t>$Description$</t>
    <phoneticPr fontId="1" type="noConversion"/>
  </si>
  <si>
    <t>$ObjectType$</t>
    <phoneticPr fontId="1" type="noConversion"/>
  </si>
  <si>
    <t>$Price$</t>
    <phoneticPr fontId="1" type="noConversion"/>
  </si>
  <si>
    <t>$SpriteIndex$</t>
    <phoneticPr fontId="1" type="noConversion"/>
  </si>
  <si>
    <t>$IsDrink$</t>
    <phoneticPr fontId="1" type="noConversion"/>
  </si>
  <si>
    <t>$Buffs$</t>
    <phoneticPr fontId="1" type="noConversion"/>
  </si>
  <si>
    <t>$CanBeGivenAsGift$</t>
    <phoneticPr fontId="1" type="noConversion"/>
  </si>
  <si>
    <t>$CanBeTrashed$</t>
    <phoneticPr fontId="1" type="noConversion"/>
  </si>
  <si>
    <t>$Edibility$</t>
    <phoneticPr fontId="1" type="noConversion"/>
  </si>
  <si>
    <t>LITTER</t>
    <phoneticPr fontId="1" type="noConversion"/>
  </si>
  <si>
    <t>Milk</t>
    <phoneticPr fontId="1" type="noConversion"/>
  </si>
  <si>
    <t>Carrot</t>
    <phoneticPr fontId="1" type="noConversion"/>
  </si>
  <si>
    <t>Sunflower</t>
    <phoneticPr fontId="1" type="noConversion"/>
  </si>
  <si>
    <t>Beetroot</t>
    <phoneticPr fontId="1" type="noConversion"/>
  </si>
  <si>
    <t>Egg</t>
    <phoneticPr fontId="1" type="noConversion"/>
  </si>
  <si>
    <t>Rock</t>
    <phoneticPr fontId="1" type="noConversion"/>
  </si>
  <si>
    <t>Coal</t>
    <phoneticPr fontId="1" type="noConversion"/>
  </si>
  <si>
    <t>Starfish</t>
    <phoneticPr fontId="1" type="noConversion"/>
  </si>
  <si>
    <t>Iron Ore</t>
    <phoneticPr fontId="1" type="noConversion"/>
  </si>
  <si>
    <t>Gold Ore</t>
    <phoneticPr fontId="1" type="noConversion"/>
  </si>
  <si>
    <t>Diamond Ore</t>
    <phoneticPr fontId="1" type="noConversion"/>
  </si>
  <si>
    <t>Acorn</t>
    <phoneticPr fontId="1" type="noConversion"/>
  </si>
  <si>
    <t>Fish</t>
    <phoneticPr fontId="1" type="noConversion"/>
  </si>
  <si>
    <t>Crate</t>
    <phoneticPr fontId="1" type="noConversion"/>
  </si>
  <si>
    <t>CRAFTING</t>
    <phoneticPr fontId="1" type="noConversion"/>
  </si>
  <si>
    <t>SEEDS</t>
    <phoneticPr fontId="1" type="noConversion"/>
  </si>
  <si>
    <t>FISH</t>
    <phoneticPr fontId="1" type="noConversion"/>
  </si>
  <si>
    <t>BASIC</t>
  </si>
  <si>
    <t xml:space="preserve">Red Mushroom </t>
    <phoneticPr fontId="1" type="noConversion"/>
  </si>
  <si>
    <t xml:space="preserve">Blue Mushroom </t>
    <phoneticPr fontId="1" type="noConversion"/>
  </si>
  <si>
    <t>Clam</t>
    <phoneticPr fontId="1" type="noConversion"/>
  </si>
  <si>
    <t>$ContextTags$</t>
    <phoneticPr fontId="1" type="noConversion"/>
  </si>
  <si>
    <t>Tag_1,Tag_Test</t>
    <phoneticPr fontId="1" type="noConversion"/>
  </si>
  <si>
    <t>$NeedsWatering$</t>
    <phoneticPr fontId="1" type="noConversion"/>
  </si>
  <si>
    <t>$HarvestItemId$</t>
    <phoneticPr fontId="1" type="noConversion"/>
  </si>
  <si>
    <t>$HarvestMinStack$</t>
    <phoneticPr fontId="1" type="noConversion"/>
  </si>
  <si>
    <t>$HarvestMaxStack$</t>
    <phoneticPr fontId="1" type="noConversion"/>
  </si>
  <si>
    <t>$ExtraHarvestChance$</t>
    <phoneticPr fontId="1" type="noConversion"/>
  </si>
  <si>
    <t>Carrot Seeds</t>
    <phoneticPr fontId="1" type="noConversion"/>
  </si>
  <si>
    <t>Pumpkin Seeds</t>
    <phoneticPr fontId="1" type="noConversion"/>
  </si>
  <si>
    <t>Sunflower Seeds</t>
    <phoneticPr fontId="1" type="noConversion"/>
  </si>
  <si>
    <t>Red Cabbage Seeds</t>
    <phoneticPr fontId="1" type="noConversion"/>
  </si>
  <si>
    <t>Beetroot Seeds</t>
    <phoneticPr fontId="1" type="noConversion"/>
  </si>
  <si>
    <t>$SeasonsStr$</t>
    <phoneticPr fontId="1" type="noConversion"/>
  </si>
  <si>
    <t>$DaysInPhaseStr$</t>
    <phoneticPr fontId="1" type="noConversion"/>
  </si>
  <si>
    <t>$HarvestMethodStr$</t>
    <phoneticPr fontId="1" type="noConversion"/>
  </si>
  <si>
    <t>FALL</t>
    <phoneticPr fontId="1" type="noConversion"/>
  </si>
  <si>
    <t>SUMMER,FALL</t>
  </si>
  <si>
    <t>SUMMER,FALL</t>
    <phoneticPr fontId="1" type="noConversion"/>
  </si>
  <si>
    <t>SPRING</t>
    <phoneticPr fontId="1" type="noConversion"/>
  </si>
  <si>
    <t>1,2,3,2</t>
    <phoneticPr fontId="1" type="noConversion"/>
  </si>
  <si>
    <t>2,1,2,1</t>
    <phoneticPr fontId="1" type="noConversion"/>
  </si>
  <si>
    <t>1,1,2,2</t>
    <phoneticPr fontId="1" type="noConversion"/>
  </si>
  <si>
    <t>1,1,1,1</t>
    <phoneticPr fontId="1" type="noConversion"/>
  </si>
  <si>
    <t>1,2,2,1</t>
    <phoneticPr fontId="1" type="noConversion"/>
  </si>
  <si>
    <t>HANDS</t>
  </si>
  <si>
    <t>HANDS</t>
    <phoneticPr fontId="1" type="noConversion"/>
  </si>
  <si>
    <t>Crops</t>
    <phoneticPr fontId="1" type="noConversion"/>
  </si>
  <si>
    <t>Objects</t>
    <phoneticPr fontId="1" type="noConversion"/>
  </si>
  <si>
    <t>$$Crops$$</t>
    <phoneticPr fontId="1" type="noConversion"/>
  </si>
  <si>
    <t>1,2,4,4</t>
    <phoneticPr fontId="1" type="noConversion"/>
  </si>
  <si>
    <t>1,2,3,4</t>
    <phoneticPr fontId="1" type="noConversion"/>
  </si>
  <si>
    <t>1,1,1,2</t>
    <phoneticPr fontId="1" type="noConversion"/>
  </si>
  <si>
    <t>2,1,2,3</t>
    <phoneticPr fontId="1" type="noConversion"/>
  </si>
  <si>
    <t>$ItemType$</t>
    <phoneticPr fontId="1" type="noConversion"/>
  </si>
  <si>
    <t>OBJECTS</t>
  </si>
  <si>
    <t>$SheetDirectory$</t>
    <phoneticPr fontId="1" type="noConversion"/>
  </si>
  <si>
    <t>$ParentSheet$</t>
    <phoneticPr fontId="1" type="noConversion"/>
  </si>
  <si>
    <t>Sprites/Items</t>
    <phoneticPr fontId="1" type="noConversion"/>
  </si>
  <si>
    <t>OBJECTS</t>
    <phoneticPr fontId="1" type="noConversion"/>
  </si>
  <si>
    <t>$$Objects$$</t>
    <phoneticPr fontId="1" type="noConversion"/>
  </si>
  <si>
    <t>$$Tools$$</t>
    <phoneticPr fontId="1" type="noConversion"/>
  </si>
  <si>
    <t>$ToolType$</t>
    <phoneticPr fontId="1" type="noConversion"/>
  </si>
  <si>
    <t>$SalePrice$</t>
    <phoneticPr fontId="1" type="noConversion"/>
  </si>
  <si>
    <t>$UpgradeLevel$</t>
    <phoneticPr fontId="1" type="noConversion"/>
  </si>
  <si>
    <t>TOOLS</t>
    <phoneticPr fontId="1" type="noConversion"/>
  </si>
  <si>
    <t>Tools</t>
    <phoneticPr fontId="1" type="noConversion"/>
  </si>
  <si>
    <t>WateringCan</t>
    <phoneticPr fontId="1" type="noConversion"/>
  </si>
  <si>
    <t>Axe</t>
    <phoneticPr fontId="1" type="noConversion"/>
  </si>
  <si>
    <t>Shovel</t>
    <phoneticPr fontId="1" type="noConversion"/>
  </si>
  <si>
    <t>Pickaxe</t>
    <phoneticPr fontId="1" type="noConversion"/>
  </si>
  <si>
    <t>FishingRod</t>
  </si>
  <si>
    <t>AXE</t>
  </si>
  <si>
    <t>WATERING</t>
  </si>
  <si>
    <t>ROD</t>
  </si>
  <si>
    <t>PICKAXE</t>
  </si>
  <si>
    <t>SHOVEL</t>
  </si>
  <si>
    <t>SteelAxe</t>
    <phoneticPr fontId="1" type="noConversion"/>
  </si>
  <si>
    <t>GoldAxe</t>
    <phoneticPr fontId="1" type="noConversion"/>
  </si>
  <si>
    <t>DiamondAxe</t>
    <phoneticPr fontId="1" type="noConversion"/>
  </si>
  <si>
    <t>SteelFishingRod</t>
    <phoneticPr fontId="1" type="noConversion"/>
  </si>
  <si>
    <t>GoldFishingRod</t>
    <phoneticPr fontId="1" type="noConversion"/>
  </si>
  <si>
    <t>DiamondFishingRod</t>
    <phoneticPr fontId="1" type="noConversion"/>
  </si>
  <si>
    <t>SteelPickaxe</t>
    <phoneticPr fontId="1" type="noConversion"/>
  </si>
  <si>
    <t>GoldPickaxe</t>
    <phoneticPr fontId="1" type="noConversion"/>
  </si>
  <si>
    <t>DiamondPickaxe</t>
    <phoneticPr fontId="1" type="noConversion"/>
  </si>
  <si>
    <t>SteelShovel</t>
    <phoneticPr fontId="1" type="noConversion"/>
  </si>
  <si>
    <t>GoldShovel</t>
    <phoneticPr fontId="1" type="noConversion"/>
  </si>
  <si>
    <t>DiamondShovel</t>
    <phoneticPr fontId="1" type="noConversion"/>
  </si>
  <si>
    <t>SteelWaterCan</t>
    <phoneticPr fontId="1" type="noConversion"/>
  </si>
  <si>
    <t>GoldWateringCan</t>
    <phoneticPr fontId="1" type="noConversion"/>
  </si>
  <si>
    <t>DiamondWateringCan</t>
    <phoneticPr fontId="1" type="noConversion"/>
  </si>
  <si>
    <t>Gold Bar</t>
    <phoneticPr fontId="1" type="noConversion"/>
  </si>
  <si>
    <t>Diamond Bar</t>
    <phoneticPr fontId="1" type="noConversion"/>
  </si>
  <si>
    <t>Iron Bar</t>
    <phoneticPr fontId="1" type="noConversion"/>
  </si>
  <si>
    <t>7010,321,5</t>
    <phoneticPr fontId="1" type="noConversion"/>
  </si>
  <si>
    <t>7011,322,5</t>
    <phoneticPr fontId="1" type="noConversion"/>
  </si>
  <si>
    <t>7012,323,5</t>
    <phoneticPr fontId="1" type="noConversion"/>
  </si>
  <si>
    <t>7020,321,5</t>
    <phoneticPr fontId="1" type="noConversion"/>
  </si>
  <si>
    <t>7021,322,5</t>
    <phoneticPr fontId="1" type="noConversion"/>
  </si>
  <si>
    <t>7022,323,5</t>
    <phoneticPr fontId="1" type="noConversion"/>
  </si>
  <si>
    <t>7030,321,5</t>
    <phoneticPr fontId="1" type="noConversion"/>
  </si>
  <si>
    <t>7031,322,5</t>
    <phoneticPr fontId="1" type="noConversion"/>
  </si>
  <si>
    <t>7032,323,5</t>
    <phoneticPr fontId="1" type="noConversion"/>
  </si>
  <si>
    <t>7040,321,5</t>
    <phoneticPr fontId="1" type="noConversion"/>
  </si>
  <si>
    <t>7041,322,5</t>
    <phoneticPr fontId="1" type="noConversion"/>
  </si>
  <si>
    <t>7042,323,5</t>
    <phoneticPr fontId="1" type="noConversion"/>
  </si>
  <si>
    <t>7050,321,5</t>
    <phoneticPr fontId="1" type="noConversion"/>
  </si>
  <si>
    <t>7051,322,5</t>
    <phoneticPr fontId="1" type="noConversion"/>
  </si>
  <si>
    <t>7052,323,5</t>
    <phoneticPr fontId="1" type="noConversion"/>
  </si>
  <si>
    <t>$UpgradeFromStr$</t>
    <phoneticPr fontId="1" type="noConversion"/>
  </si>
  <si>
    <t>$Stackable$</t>
    <phoneticPr fontId="1" type="noConversion"/>
  </si>
  <si>
    <t>$Category$</t>
    <phoneticPr fontId="1" type="noConversion"/>
  </si>
  <si>
    <t>Resource</t>
    <phoneticPr fontId="1" type="noConversion"/>
  </si>
  <si>
    <t>Animal Product</t>
    <phoneticPr fontId="1" type="noConversion"/>
  </si>
  <si>
    <t>Vegetable</t>
    <phoneticPr fontId="1" type="noConversion"/>
  </si>
  <si>
    <t>Flower</t>
    <phoneticPr fontId="1" type="noConversion"/>
  </si>
  <si>
    <t>Forage</t>
    <phoneticPr fontId="1" type="noConversion"/>
  </si>
  <si>
    <t>Crafting</t>
    <phoneticPr fontId="1" type="noConversion"/>
  </si>
  <si>
    <t>Seed</t>
    <phoneticPr fontId="1" type="noConversion"/>
  </si>
  <si>
    <t>$CategoryColor$</t>
    <phoneticPr fontId="1" type="noConversion"/>
  </si>
  <si>
    <t>Tool</t>
    <phoneticPr fontId="1" type="noConversion"/>
  </si>
  <si>
    <t>Crab</t>
    <phoneticPr fontId="1" type="noConversion"/>
  </si>
  <si>
    <t>$RecipeType$</t>
    <phoneticPr fontId="1" type="noConversion"/>
  </si>
  <si>
    <t>Recipe</t>
    <phoneticPr fontId="1" type="noConversion"/>
  </si>
  <si>
    <t>COOKING</t>
    <phoneticPr fontId="1" type="noConversion"/>
  </si>
  <si>
    <t>Artisan Goods</t>
    <phoneticPr fontId="1" type="noConversion"/>
  </si>
  <si>
    <t>Salt</t>
    <phoneticPr fontId="1" type="noConversion"/>
  </si>
  <si>
    <t>Oli</t>
    <phoneticPr fontId="1" type="noConversion"/>
  </si>
  <si>
    <t>Creamy Veggie Soup</t>
    <phoneticPr fontId="1" type="noConversion"/>
  </si>
  <si>
    <t>Butter</t>
    <phoneticPr fontId="1" type="noConversion"/>
  </si>
  <si>
    <t>Bread</t>
    <phoneticPr fontId="1" type="noConversion"/>
  </si>
  <si>
    <t>Potato Gratin</t>
    <phoneticPr fontId="1" type="noConversion"/>
  </si>
  <si>
    <t>Carrot Muffin</t>
    <phoneticPr fontId="1" type="noConversion"/>
  </si>
  <si>
    <t>Parsnip Soup</t>
    <phoneticPr fontId="1" type="noConversion"/>
  </si>
  <si>
    <t>301:2,302:1,303:1,308:1,326:1</t>
    <phoneticPr fontId="1" type="noConversion"/>
  </si>
  <si>
    <t>311:1,301:1,326:1</t>
    <phoneticPr fontId="1" type="noConversion"/>
  </si>
  <si>
    <t>303:1,308:1,302:1,301:2,326:1</t>
    <phoneticPr fontId="1" type="noConversion"/>
  </si>
  <si>
    <t>302:1,316:1,326:1,</t>
    <phoneticPr fontId="1" type="noConversion"/>
  </si>
  <si>
    <t>307:1,301:2,326:1</t>
    <phoneticPr fontId="1" type="noConversion"/>
  </si>
  <si>
    <t>Creamy Veggie Soup Recipe</t>
    <phoneticPr fontId="1" type="noConversion"/>
  </si>
  <si>
    <t>Bread Recipe</t>
    <phoneticPr fontId="1" type="noConversion"/>
  </si>
  <si>
    <t>Potato Gratin Recipe</t>
    <phoneticPr fontId="1" type="noConversion"/>
  </si>
  <si>
    <t>Carrot Muffin Recipe</t>
    <phoneticPr fontId="1" type="noConversion"/>
  </si>
  <si>
    <t>Parsnip Soup Recipe</t>
    <phoneticPr fontId="1" type="noConversion"/>
  </si>
  <si>
    <t>COOKING</t>
    <phoneticPr fontId="1" type="noConversion"/>
  </si>
  <si>
    <t>Cooking</t>
    <phoneticPr fontId="1" type="noConversion"/>
  </si>
  <si>
    <t>$ResultItemId$</t>
    <phoneticPr fontId="1" type="noConversion"/>
  </si>
  <si>
    <t>$$Recipes$$</t>
    <phoneticPr fontId="1" type="noConversion"/>
  </si>
  <si>
    <t>OBJECTS</t>
    <phoneticPr fontId="1" type="noConversion"/>
  </si>
  <si>
    <t>RECIPE</t>
    <phoneticPr fontId="1" type="noConversion"/>
  </si>
  <si>
    <t>$Req_ingredient$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</si>
</sst>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1"/>
      <color rgb="FF2021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1" applyAlignment="1">
      <alignment vertical="center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0" fillId="0" borderId="0" xfId="0" applyNumberFormat="1">
      <alignment vertical="center"/>
    </xf>
    <xf numFmtId="46" fontId="0" fillId="0" borderId="0" xfId="0" applyNumberFormat="1">
      <alignment vertical="center"/>
    </xf>
  </cellXfs>
  <cellStyles count="2">
    <cellStyle name="표준" xfId="0" builtinId="0"/>
    <cellStyle name="표준 2" xfId="1" xr:uid="{BC579636-4052-45B8-AABB-31EEA0807D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0</xdr:row>
          <xdr:rowOff>0</xdr:rowOff>
        </xdr:from>
        <xdr:to>
          <xdr:col>17</xdr:col>
          <xdr:colOff>0</xdr:colOff>
          <xdr:row>2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"." 값 제거 매크로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0</xdr:row>
          <xdr:rowOff>0</xdr:rowOff>
        </xdr:from>
        <xdr:to>
          <xdr:col>17</xdr:col>
          <xdr:colOff>0</xdr:colOff>
          <xdr:row>2</xdr:row>
          <xdr:rowOff>0</xdr:rowOff>
        </xdr:to>
        <xdr:sp macro="" textlink="">
          <xdr:nvSpPr>
            <xdr:cNvPr id="19457" name="Butto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1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"." 값 제거 매크로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0</xdr:row>
          <xdr:rowOff>0</xdr:rowOff>
        </xdr:from>
        <xdr:to>
          <xdr:col>8</xdr:col>
          <xdr:colOff>0</xdr:colOff>
          <xdr:row>2</xdr:row>
          <xdr:rowOff>0</xdr:rowOff>
        </xdr:to>
        <xdr:sp macro="" textlink="">
          <xdr:nvSpPr>
            <xdr:cNvPr id="18433" name="Button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2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"." 값 제거 매크로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0</xdr:row>
          <xdr:rowOff>0</xdr:rowOff>
        </xdr:from>
        <xdr:to>
          <xdr:col>3</xdr:col>
          <xdr:colOff>0</xdr:colOff>
          <xdr:row>2</xdr:row>
          <xdr:rowOff>0</xdr:rowOff>
        </xdr:to>
        <xdr:sp macro="" textlink="">
          <xdr:nvSpPr>
            <xdr:cNvPr id="21505" name="Button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3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"." 값 제거 매크로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0</xdr:row>
          <xdr:rowOff>0</xdr:rowOff>
        </xdr:from>
        <xdr:to>
          <xdr:col>5</xdr:col>
          <xdr:colOff>0</xdr:colOff>
          <xdr:row>2</xdr:row>
          <xdr:rowOff>0</xdr:rowOff>
        </xdr:to>
        <xdr:sp macro="" textlink="">
          <xdr:nvSpPr>
            <xdr:cNvPr id="21506" name="Button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3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"." 값 제거 매크로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EE84-0108-42B1-826D-C63A5B94B9EE}">
  <sheetPr codeName="Sheet4"/>
  <dimension ref="A3:AJ58"/>
  <sheetViews>
    <sheetView zoomScale="85" zoomScaleNormal="85" workbookViewId="0">
      <selection activeCell="H34" sqref="H34"/>
    </sheetView>
  </sheetViews>
  <sheetFormatPr defaultRowHeight="16.5" x14ac:dyDescent="0.3"/>
  <cols>
    <col min="1" max="1" width="13.125" bestFit="1" customWidth="1"/>
    <col min="2" max="2" width="27.5" bestFit="1" customWidth="1"/>
    <col min="3" max="3" width="33.875" bestFit="1" customWidth="1"/>
    <col min="4" max="4" width="30.875" bestFit="1" customWidth="1"/>
    <col min="5" max="5" width="10.875" bestFit="1" customWidth="1"/>
    <col min="6" max="6" width="15.25" bestFit="1" customWidth="1"/>
    <col min="7" max="7" width="14.875" bestFit="1" customWidth="1"/>
    <col min="8" max="8" width="12.375" bestFit="1" customWidth="1"/>
    <col min="9" max="9" width="15.75" bestFit="1" customWidth="1"/>
    <col min="10" max="10" width="13.5" bestFit="1" customWidth="1"/>
    <col min="11" max="11" width="12.875" bestFit="1" customWidth="1"/>
    <col min="12" max="12" width="7.625" bestFit="1" customWidth="1"/>
    <col min="13" max="13" width="14.375" bestFit="1" customWidth="1"/>
    <col min="14" max="14" width="11.5" bestFit="1" customWidth="1"/>
    <col min="15" max="15" width="18.75" style="10" bestFit="1" customWidth="1"/>
    <col min="16" max="16" width="15.625" bestFit="1" customWidth="1"/>
    <col min="17" max="17" width="7.375" bestFit="1" customWidth="1"/>
    <col min="18" max="18" width="10.125" bestFit="1" customWidth="1"/>
    <col min="19" max="19" width="9.25" bestFit="1" customWidth="1"/>
    <col min="20" max="20" width="15" bestFit="1" customWidth="1"/>
    <col min="21" max="21" width="13.375" customWidth="1"/>
    <col min="22" max="22" width="12" bestFit="1" customWidth="1"/>
    <col min="23" max="32" width="13.375" customWidth="1"/>
  </cols>
  <sheetData>
    <row r="3" spans="1:36" ht="17.25" customHeight="1" x14ac:dyDescent="0.3">
      <c r="A3" s="1" t="s">
        <v>90</v>
      </c>
      <c r="B3" s="1"/>
      <c r="C3" s="1"/>
      <c r="D3" s="3"/>
      <c r="E3" s="3"/>
      <c r="F3" s="3"/>
      <c r="G3" s="3"/>
      <c r="H3" s="2"/>
      <c r="I3" s="2"/>
      <c r="J3" s="2"/>
      <c r="K3" s="3"/>
      <c r="L3" s="3"/>
      <c r="M3" s="3"/>
      <c r="N3" s="3"/>
      <c r="O3" s="11"/>
      <c r="P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17.25" customHeight="1" x14ac:dyDescent="0.3">
      <c r="A4" s="4" t="s">
        <v>17</v>
      </c>
      <c r="B4" s="4" t="s">
        <v>18</v>
      </c>
      <c r="C4" s="4" t="s">
        <v>19</v>
      </c>
      <c r="D4" s="7" t="s">
        <v>20</v>
      </c>
      <c r="E4" s="7" t="s">
        <v>84</v>
      </c>
      <c r="F4" s="7" t="s">
        <v>142</v>
      </c>
      <c r="G4" s="7" t="s">
        <v>150</v>
      </c>
      <c r="H4" s="4" t="s">
        <v>21</v>
      </c>
      <c r="I4" s="4" t="s">
        <v>86</v>
      </c>
      <c r="J4" s="4" t="s">
        <v>87</v>
      </c>
      <c r="K4" s="4" t="s">
        <v>23</v>
      </c>
      <c r="L4" s="4" t="s">
        <v>25</v>
      </c>
      <c r="M4" s="4" t="s">
        <v>51</v>
      </c>
      <c r="N4" s="4" t="s">
        <v>141</v>
      </c>
      <c r="O4" s="7" t="s">
        <v>26</v>
      </c>
      <c r="P4" s="4" t="s">
        <v>27</v>
      </c>
      <c r="Q4" s="8" t="s">
        <v>22</v>
      </c>
      <c r="R4" s="4" t="s">
        <v>28</v>
      </c>
      <c r="S4" s="4" t="s">
        <v>24</v>
      </c>
      <c r="T4" s="4"/>
      <c r="V4" s="3"/>
      <c r="W4" s="3"/>
      <c r="X4" s="3"/>
      <c r="Y4" s="3"/>
    </row>
    <row r="5" spans="1:36" x14ac:dyDescent="0.3">
      <c r="A5">
        <v>201</v>
      </c>
      <c r="B5" s="5" t="s">
        <v>35</v>
      </c>
      <c r="C5" t="str">
        <f>B5&amp;"_Name"</f>
        <v>Rock_Name</v>
      </c>
      <c r="D5" s="6" t="str">
        <f>B5&amp;"_Description"</f>
        <v>Rock_Description</v>
      </c>
      <c r="E5" s="6" t="s">
        <v>85</v>
      </c>
      <c r="F5" s="6" t="s">
        <v>143</v>
      </c>
      <c r="G5" s="6" t="str" cm="1">
        <f t="array" ref="G5">_xlfn.SWITCH(F5,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#406672</v>
      </c>
      <c r="H5" t="s">
        <v>29</v>
      </c>
      <c r="I5" t="s">
        <v>88</v>
      </c>
      <c r="J5" t="s">
        <v>78</v>
      </c>
      <c r="K5">
        <v>327</v>
      </c>
      <c r="M5" t="s">
        <v>52</v>
      </c>
      <c r="N5" t="b">
        <v>1</v>
      </c>
      <c r="O5" s="10" t="b">
        <v>1</v>
      </c>
      <c r="P5" s="6" t="b">
        <v>1</v>
      </c>
      <c r="Q5">
        <v>0</v>
      </c>
      <c r="R5">
        <v>-300</v>
      </c>
      <c r="S5" t="b">
        <v>0</v>
      </c>
      <c r="T5" s="6"/>
    </row>
    <row r="6" spans="1:36" x14ac:dyDescent="0.3">
      <c r="A6">
        <v>301</v>
      </c>
      <c r="B6" s="5" t="s">
        <v>30</v>
      </c>
      <c r="C6" t="str">
        <f t="shared" ref="C6:C58" si="0">B6&amp;"_Name"</f>
        <v>Milk_Name</v>
      </c>
      <c r="D6" s="6" t="str">
        <f t="shared" ref="D6:D58" si="1">B6&amp;"_Description"</f>
        <v>Milk_Description</v>
      </c>
      <c r="E6" s="6" t="s">
        <v>89</v>
      </c>
      <c r="F6" s="6" t="s">
        <v>144</v>
      </c>
      <c r="G6" s="6" t="str" cm="1">
        <f t="array" ref="G6">_xlfn.SWITCH(F6,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#FF0064</v>
      </c>
      <c r="H6" t="s">
        <v>47</v>
      </c>
      <c r="I6" t="s">
        <v>88</v>
      </c>
      <c r="J6" t="s">
        <v>78</v>
      </c>
      <c r="K6">
        <v>2</v>
      </c>
      <c r="N6" t="b">
        <v>1</v>
      </c>
      <c r="O6" s="10" t="b">
        <v>1</v>
      </c>
      <c r="P6" s="6" t="b">
        <v>1</v>
      </c>
      <c r="Q6">
        <v>125</v>
      </c>
      <c r="R6">
        <v>15</v>
      </c>
      <c r="S6" t="b">
        <v>1</v>
      </c>
      <c r="T6" s="6"/>
    </row>
    <row r="7" spans="1:36" x14ac:dyDescent="0.3">
      <c r="A7">
        <v>302</v>
      </c>
      <c r="B7" s="5" t="s">
        <v>31</v>
      </c>
      <c r="C7" t="str">
        <f t="shared" si="0"/>
        <v>Carrot_Name</v>
      </c>
      <c r="D7" s="6" t="str">
        <f t="shared" si="1"/>
        <v>Carrot_Description</v>
      </c>
      <c r="E7" s="6" t="s">
        <v>85</v>
      </c>
      <c r="F7" s="6" t="s">
        <v>145</v>
      </c>
      <c r="G7" s="6" t="str" cm="1">
        <f t="array" ref="G7">_xlfn.SWITCH(F7,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#FF0064</v>
      </c>
      <c r="H7" t="s">
        <v>47</v>
      </c>
      <c r="I7" t="s">
        <v>88</v>
      </c>
      <c r="J7" t="s">
        <v>78</v>
      </c>
      <c r="K7">
        <v>3</v>
      </c>
      <c r="N7" t="b">
        <v>1</v>
      </c>
      <c r="O7" s="10" t="b">
        <v>1</v>
      </c>
      <c r="P7" s="6" t="b">
        <v>1</v>
      </c>
      <c r="Q7">
        <v>35</v>
      </c>
      <c r="R7">
        <v>12</v>
      </c>
      <c r="T7" s="6"/>
    </row>
    <row r="8" spans="1:36" x14ac:dyDescent="0.3">
      <c r="A8">
        <v>303</v>
      </c>
      <c r="B8" s="5" t="s">
        <v>6</v>
      </c>
      <c r="C8" t="str">
        <f t="shared" si="0"/>
        <v>Cauliflower_Name</v>
      </c>
      <c r="D8" s="6" t="str">
        <f t="shared" si="1"/>
        <v>Cauliflower_Description</v>
      </c>
      <c r="E8" s="6" t="s">
        <v>85</v>
      </c>
      <c r="F8" s="6" t="s">
        <v>145</v>
      </c>
      <c r="G8" s="6" t="str" cm="1">
        <f t="array" ref="G8">_xlfn.SWITCH(F8,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#FF0064</v>
      </c>
      <c r="H8" t="s">
        <v>47</v>
      </c>
      <c r="I8" t="s">
        <v>88</v>
      </c>
      <c r="J8" t="s">
        <v>78</v>
      </c>
      <c r="K8">
        <v>4</v>
      </c>
      <c r="N8" t="b">
        <v>1</v>
      </c>
      <c r="O8" s="10" t="b">
        <v>1</v>
      </c>
      <c r="P8" s="6" t="b">
        <v>1</v>
      </c>
      <c r="Q8">
        <v>175</v>
      </c>
      <c r="R8">
        <v>30</v>
      </c>
      <c r="T8" s="6"/>
    </row>
    <row r="9" spans="1:36" x14ac:dyDescent="0.3">
      <c r="A9">
        <v>304</v>
      </c>
      <c r="B9" s="5" t="s">
        <v>12</v>
      </c>
      <c r="C9" t="str">
        <f t="shared" si="0"/>
        <v>Pumpkin_Name</v>
      </c>
      <c r="D9" s="6" t="str">
        <f t="shared" si="1"/>
        <v>Pumpkin_Description</v>
      </c>
      <c r="E9" s="6" t="s">
        <v>85</v>
      </c>
      <c r="F9" s="6" t="s">
        <v>145</v>
      </c>
      <c r="G9" s="6" t="str" cm="1">
        <f t="array" ref="G9">_xlfn.SWITCH(F9,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#FF0064</v>
      </c>
      <c r="H9" t="s">
        <v>47</v>
      </c>
      <c r="I9" t="s">
        <v>88</v>
      </c>
      <c r="J9" t="s">
        <v>78</v>
      </c>
      <c r="K9">
        <v>5</v>
      </c>
      <c r="N9" t="b">
        <v>1</v>
      </c>
      <c r="O9" s="10" t="b">
        <v>1</v>
      </c>
      <c r="P9" s="6" t="b">
        <v>1</v>
      </c>
      <c r="Q9">
        <v>320</v>
      </c>
      <c r="R9">
        <v>-300</v>
      </c>
      <c r="T9" s="6"/>
    </row>
    <row r="10" spans="1:36" x14ac:dyDescent="0.3">
      <c r="A10">
        <v>305</v>
      </c>
      <c r="B10" s="5" t="s">
        <v>32</v>
      </c>
      <c r="C10" t="str">
        <f t="shared" si="0"/>
        <v>Sunflower_Name</v>
      </c>
      <c r="D10" s="6" t="str">
        <f t="shared" si="1"/>
        <v>Sunflower_Description</v>
      </c>
      <c r="E10" s="6" t="s">
        <v>85</v>
      </c>
      <c r="F10" s="6" t="s">
        <v>146</v>
      </c>
      <c r="G10" s="6" t="str" cm="1">
        <f t="array" ref="G10">_xlfn.SWITCH(F10,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#DB36D3</v>
      </c>
      <c r="H10" t="s">
        <v>47</v>
      </c>
      <c r="I10" t="s">
        <v>88</v>
      </c>
      <c r="J10" t="s">
        <v>78</v>
      </c>
      <c r="K10">
        <v>6</v>
      </c>
      <c r="N10" t="b">
        <v>1</v>
      </c>
      <c r="O10" s="10" t="b">
        <v>1</v>
      </c>
      <c r="P10" s="6" t="b">
        <v>1</v>
      </c>
      <c r="Q10">
        <v>80</v>
      </c>
      <c r="R10">
        <v>18</v>
      </c>
      <c r="T10" s="6"/>
    </row>
    <row r="11" spans="1:36" x14ac:dyDescent="0.3">
      <c r="A11">
        <v>306</v>
      </c>
      <c r="B11" s="5" t="s">
        <v>10</v>
      </c>
      <c r="C11" t="str">
        <f t="shared" si="0"/>
        <v>Radish_Name</v>
      </c>
      <c r="D11" s="6" t="str">
        <f t="shared" si="1"/>
        <v>Radish_Description</v>
      </c>
      <c r="E11" s="6" t="s">
        <v>85</v>
      </c>
      <c r="F11" s="6" t="s">
        <v>145</v>
      </c>
      <c r="G11" s="6" t="str" cm="1">
        <f t="array" ref="G11">_xlfn.SWITCH(F11,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#FF0064</v>
      </c>
      <c r="H11" t="s">
        <v>47</v>
      </c>
      <c r="I11" t="s">
        <v>88</v>
      </c>
      <c r="J11" t="s">
        <v>78</v>
      </c>
      <c r="K11">
        <v>7</v>
      </c>
      <c r="N11" t="b">
        <v>1</v>
      </c>
      <c r="O11" s="10" t="b">
        <v>1</v>
      </c>
      <c r="P11" s="6" t="b">
        <v>1</v>
      </c>
      <c r="Q11">
        <v>90</v>
      </c>
      <c r="R11">
        <v>18</v>
      </c>
      <c r="T11" s="6"/>
    </row>
    <row r="12" spans="1:36" x14ac:dyDescent="0.3">
      <c r="A12">
        <v>307</v>
      </c>
      <c r="B12" s="5" t="s">
        <v>5</v>
      </c>
      <c r="C12" t="str">
        <f t="shared" si="0"/>
        <v>Parsnip_Name</v>
      </c>
      <c r="D12" s="6" t="str">
        <f t="shared" si="1"/>
        <v>Parsnip_Description</v>
      </c>
      <c r="E12" s="6" t="s">
        <v>85</v>
      </c>
      <c r="F12" s="6" t="s">
        <v>145</v>
      </c>
      <c r="G12" s="6" t="str" cm="1">
        <f t="array" ref="G12">_xlfn.SWITCH(F12,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#FF0064</v>
      </c>
      <c r="H12" t="s">
        <v>47</v>
      </c>
      <c r="I12" t="s">
        <v>88</v>
      </c>
      <c r="J12" t="s">
        <v>78</v>
      </c>
      <c r="K12">
        <v>8</v>
      </c>
      <c r="N12" t="b">
        <v>1</v>
      </c>
      <c r="O12" s="10" t="b">
        <v>1</v>
      </c>
      <c r="P12" s="6" t="b">
        <v>1</v>
      </c>
      <c r="Q12">
        <v>35</v>
      </c>
      <c r="R12">
        <v>10</v>
      </c>
      <c r="T12" s="6"/>
    </row>
    <row r="13" spans="1:36" x14ac:dyDescent="0.3">
      <c r="A13">
        <v>308</v>
      </c>
      <c r="B13" s="5" t="s">
        <v>7</v>
      </c>
      <c r="C13" t="str">
        <f t="shared" si="0"/>
        <v>Potato_Name</v>
      </c>
      <c r="D13" s="6" t="str">
        <f t="shared" si="1"/>
        <v>Potato_Description</v>
      </c>
      <c r="E13" s="6" t="s">
        <v>85</v>
      </c>
      <c r="F13" s="6" t="s">
        <v>145</v>
      </c>
      <c r="G13" s="6" t="str" cm="1">
        <f t="array" ref="G13">_xlfn.SWITCH(F13,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#FF0064</v>
      </c>
      <c r="H13" t="s">
        <v>47</v>
      </c>
      <c r="I13" t="s">
        <v>88</v>
      </c>
      <c r="J13" t="s">
        <v>78</v>
      </c>
      <c r="K13">
        <v>9</v>
      </c>
      <c r="N13" t="b">
        <v>1</v>
      </c>
      <c r="O13" s="10" t="b">
        <v>1</v>
      </c>
      <c r="P13" s="6" t="b">
        <v>1</v>
      </c>
      <c r="Q13">
        <v>80</v>
      </c>
      <c r="R13">
        <v>10</v>
      </c>
      <c r="T13" s="6"/>
    </row>
    <row r="14" spans="1:36" x14ac:dyDescent="0.3">
      <c r="A14">
        <v>309</v>
      </c>
      <c r="B14" s="5" t="s">
        <v>11</v>
      </c>
      <c r="C14" t="str">
        <f t="shared" si="0"/>
        <v>Red Cabbage_Name</v>
      </c>
      <c r="D14" s="6" t="str">
        <f t="shared" si="1"/>
        <v>Red Cabbage_Description</v>
      </c>
      <c r="E14" s="6" t="s">
        <v>85</v>
      </c>
      <c r="F14" s="6" t="s">
        <v>145</v>
      </c>
      <c r="G14" s="6" t="str" cm="1">
        <f t="array" ref="G14">_xlfn.SWITCH(F14,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#FF0064</v>
      </c>
      <c r="H14" t="s">
        <v>47</v>
      </c>
      <c r="I14" t="s">
        <v>88</v>
      </c>
      <c r="J14" t="s">
        <v>78</v>
      </c>
      <c r="K14">
        <v>10</v>
      </c>
      <c r="N14" t="b">
        <v>1</v>
      </c>
      <c r="O14" s="10" t="b">
        <v>1</v>
      </c>
      <c r="P14" s="6" t="b">
        <v>1</v>
      </c>
      <c r="Q14">
        <v>260</v>
      </c>
      <c r="R14">
        <v>30</v>
      </c>
      <c r="T14" s="6"/>
    </row>
    <row r="15" spans="1:36" x14ac:dyDescent="0.3">
      <c r="A15">
        <v>310</v>
      </c>
      <c r="B15" s="5" t="s">
        <v>33</v>
      </c>
      <c r="C15" t="str">
        <f t="shared" si="0"/>
        <v>Beetroot_Name</v>
      </c>
      <c r="D15" s="6" t="str">
        <f t="shared" si="1"/>
        <v>Beetroot_Description</v>
      </c>
      <c r="E15" s="6" t="s">
        <v>85</v>
      </c>
      <c r="F15" s="6" t="s">
        <v>145</v>
      </c>
      <c r="G15" s="6" t="str" cm="1">
        <f t="array" ref="G15">_xlfn.SWITCH(F15,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#FF0064</v>
      </c>
      <c r="H15" t="s">
        <v>47</v>
      </c>
      <c r="I15" t="s">
        <v>88</v>
      </c>
      <c r="J15" t="s">
        <v>78</v>
      </c>
      <c r="K15">
        <v>11</v>
      </c>
      <c r="N15" t="b">
        <v>1</v>
      </c>
      <c r="O15" s="10" t="b">
        <v>1</v>
      </c>
      <c r="P15" s="6" t="b">
        <v>1</v>
      </c>
      <c r="Q15">
        <v>100</v>
      </c>
      <c r="R15">
        <v>12</v>
      </c>
      <c r="T15" s="6"/>
    </row>
    <row r="16" spans="1:36" x14ac:dyDescent="0.3">
      <c r="A16">
        <v>311</v>
      </c>
      <c r="B16" s="5" t="s">
        <v>9</v>
      </c>
      <c r="C16" t="str">
        <f t="shared" si="0"/>
        <v>Wheat_Name</v>
      </c>
      <c r="D16" s="6" t="str">
        <f t="shared" si="1"/>
        <v>Wheat_Description</v>
      </c>
      <c r="E16" s="6" t="s">
        <v>85</v>
      </c>
      <c r="F16" s="6" t="s">
        <v>145</v>
      </c>
      <c r="G16" s="6" t="str" cm="1">
        <f t="array" ref="G16">_xlfn.SWITCH(F16,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#FF0064</v>
      </c>
      <c r="H16" t="s">
        <v>47</v>
      </c>
      <c r="I16" t="s">
        <v>88</v>
      </c>
      <c r="J16" t="s">
        <v>78</v>
      </c>
      <c r="K16">
        <v>12</v>
      </c>
      <c r="N16" t="b">
        <v>1</v>
      </c>
      <c r="O16" s="10" t="b">
        <v>1</v>
      </c>
      <c r="P16" s="6" t="b">
        <v>1</v>
      </c>
      <c r="Q16">
        <v>25</v>
      </c>
      <c r="R16">
        <v>-300</v>
      </c>
    </row>
    <row r="17" spans="1:18" x14ac:dyDescent="0.3">
      <c r="A17">
        <v>312</v>
      </c>
      <c r="B17" s="5" t="s">
        <v>13</v>
      </c>
      <c r="C17" t="str">
        <f t="shared" si="0"/>
        <v>Kale_Name</v>
      </c>
      <c r="D17" s="6" t="str">
        <f t="shared" si="1"/>
        <v>Kale_Description</v>
      </c>
      <c r="E17" s="6" t="s">
        <v>85</v>
      </c>
      <c r="F17" s="6" t="s">
        <v>145</v>
      </c>
      <c r="G17" s="6" t="str" cm="1">
        <f t="array" ref="G17">_xlfn.SWITCH(F17,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#FF0064</v>
      </c>
      <c r="H17" t="s">
        <v>47</v>
      </c>
      <c r="I17" t="s">
        <v>88</v>
      </c>
      <c r="J17" t="s">
        <v>78</v>
      </c>
      <c r="K17">
        <v>13</v>
      </c>
      <c r="N17" t="b">
        <v>1</v>
      </c>
      <c r="O17" s="10" t="b">
        <v>1</v>
      </c>
      <c r="P17" s="6" t="b">
        <v>1</v>
      </c>
      <c r="Q17">
        <v>110</v>
      </c>
      <c r="R17">
        <v>20</v>
      </c>
    </row>
    <row r="18" spans="1:18" x14ac:dyDescent="0.3">
      <c r="A18">
        <v>313</v>
      </c>
      <c r="B18" s="5" t="s">
        <v>49</v>
      </c>
      <c r="C18" t="str">
        <f t="shared" si="0"/>
        <v>Blue Mushroom _Name</v>
      </c>
      <c r="D18" s="6" t="str">
        <f t="shared" si="1"/>
        <v>Blue Mushroom _Description</v>
      </c>
      <c r="E18" s="6" t="s">
        <v>85</v>
      </c>
      <c r="F18" s="6" t="s">
        <v>147</v>
      </c>
      <c r="G18" s="6" t="str" cm="1">
        <f t="array" ref="G18">_xlfn.SWITCH(F18,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#0A8232</v>
      </c>
      <c r="H18" t="s">
        <v>47</v>
      </c>
      <c r="I18" t="s">
        <v>88</v>
      </c>
      <c r="J18" t="s">
        <v>78</v>
      </c>
      <c r="K18">
        <v>14</v>
      </c>
      <c r="N18" t="b">
        <v>1</v>
      </c>
      <c r="O18" s="10" t="b">
        <v>1</v>
      </c>
      <c r="P18" s="6" t="b">
        <v>1</v>
      </c>
      <c r="Q18">
        <v>250</v>
      </c>
      <c r="R18">
        <v>50</v>
      </c>
    </row>
    <row r="19" spans="1:18" x14ac:dyDescent="0.3">
      <c r="A19">
        <v>314</v>
      </c>
      <c r="B19" s="5" t="s">
        <v>48</v>
      </c>
      <c r="C19" t="str">
        <f t="shared" si="0"/>
        <v>Red Mushroom _Name</v>
      </c>
      <c r="D19" s="6" t="str">
        <f t="shared" si="1"/>
        <v>Red Mushroom _Description</v>
      </c>
      <c r="E19" s="6" t="s">
        <v>85</v>
      </c>
      <c r="F19" s="6" t="s">
        <v>147</v>
      </c>
      <c r="G19" s="6" t="str" cm="1">
        <f t="array" ref="G19">_xlfn.SWITCH(F19,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#0A8232</v>
      </c>
      <c r="H19" t="s">
        <v>47</v>
      </c>
      <c r="I19" t="s">
        <v>88</v>
      </c>
      <c r="J19" t="s">
        <v>78</v>
      </c>
      <c r="K19">
        <v>15</v>
      </c>
      <c r="N19" t="b">
        <v>1</v>
      </c>
      <c r="O19" s="10" t="b">
        <v>1</v>
      </c>
      <c r="P19" s="6" t="b">
        <v>1</v>
      </c>
      <c r="Q19">
        <v>75</v>
      </c>
      <c r="R19">
        <v>-20</v>
      </c>
    </row>
    <row r="20" spans="1:18" x14ac:dyDescent="0.3">
      <c r="A20">
        <v>315</v>
      </c>
      <c r="B20" s="5" t="s">
        <v>16</v>
      </c>
      <c r="C20" t="str">
        <f t="shared" si="0"/>
        <v>Wood_Name</v>
      </c>
      <c r="D20" s="6" t="str">
        <f t="shared" si="1"/>
        <v>Wood_Description</v>
      </c>
      <c r="E20" s="6" t="s">
        <v>85</v>
      </c>
      <c r="F20" s="6" t="s">
        <v>143</v>
      </c>
      <c r="G20" s="6" t="str" cm="1">
        <f t="array" ref="G20">_xlfn.SWITCH(F20,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#406672</v>
      </c>
      <c r="H20" t="s">
        <v>47</v>
      </c>
      <c r="I20" t="s">
        <v>88</v>
      </c>
      <c r="J20" t="s">
        <v>78</v>
      </c>
      <c r="K20">
        <v>21</v>
      </c>
      <c r="N20" t="b">
        <v>1</v>
      </c>
      <c r="O20" s="10" t="b">
        <v>1</v>
      </c>
      <c r="P20" s="6" t="b">
        <v>1</v>
      </c>
      <c r="Q20">
        <v>2</v>
      </c>
      <c r="R20">
        <v>-300</v>
      </c>
    </row>
    <row r="21" spans="1:18" x14ac:dyDescent="0.3">
      <c r="A21">
        <v>316</v>
      </c>
      <c r="B21" s="5" t="s">
        <v>34</v>
      </c>
      <c r="C21" t="str">
        <f t="shared" si="0"/>
        <v>Egg_Name</v>
      </c>
      <c r="D21" s="6" t="str">
        <f t="shared" si="1"/>
        <v>Egg_Description</v>
      </c>
      <c r="E21" s="6" t="s">
        <v>85</v>
      </c>
      <c r="F21" s="6" t="s">
        <v>144</v>
      </c>
      <c r="G21" s="6" t="str" cm="1">
        <f t="array" ref="G21">_xlfn.SWITCH(F21,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#FF0064</v>
      </c>
      <c r="H21" t="s">
        <v>47</v>
      </c>
      <c r="I21" t="s">
        <v>88</v>
      </c>
      <c r="J21" t="s">
        <v>78</v>
      </c>
      <c r="K21">
        <v>22</v>
      </c>
      <c r="N21" t="b">
        <v>1</v>
      </c>
      <c r="O21" s="10" t="b">
        <v>1</v>
      </c>
      <c r="P21" s="6" t="b">
        <v>1</v>
      </c>
      <c r="Q21">
        <v>50</v>
      </c>
      <c r="R21">
        <v>10</v>
      </c>
    </row>
    <row r="22" spans="1:18" x14ac:dyDescent="0.3">
      <c r="A22">
        <v>317</v>
      </c>
      <c r="B22" s="5" t="s">
        <v>36</v>
      </c>
      <c r="C22" t="str">
        <f t="shared" si="0"/>
        <v>Coal_Name</v>
      </c>
      <c r="D22" s="6" t="str">
        <f t="shared" si="1"/>
        <v>Coal_Description</v>
      </c>
      <c r="E22" s="6" t="s">
        <v>85</v>
      </c>
      <c r="F22" s="6" t="s">
        <v>143</v>
      </c>
      <c r="G22" s="6" t="str" cm="1">
        <f t="array" ref="G22">_xlfn.SWITCH(F22,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#406672</v>
      </c>
      <c r="H22" t="s">
        <v>47</v>
      </c>
      <c r="I22" t="s">
        <v>88</v>
      </c>
      <c r="J22" t="s">
        <v>78</v>
      </c>
      <c r="K22">
        <v>23</v>
      </c>
      <c r="N22" t="b">
        <v>1</v>
      </c>
      <c r="O22" s="10" t="b">
        <v>1</v>
      </c>
      <c r="P22" s="6" t="b">
        <v>1</v>
      </c>
      <c r="Q22">
        <v>15</v>
      </c>
      <c r="R22">
        <v>-300</v>
      </c>
    </row>
    <row r="23" spans="1:18" x14ac:dyDescent="0.3">
      <c r="A23">
        <v>318</v>
      </c>
      <c r="B23" s="5" t="s">
        <v>38</v>
      </c>
      <c r="C23" t="str">
        <f t="shared" si="0"/>
        <v>Iron Ore_Name</v>
      </c>
      <c r="D23" s="6" t="str">
        <f t="shared" si="1"/>
        <v>Iron Ore_Description</v>
      </c>
      <c r="E23" s="6" t="s">
        <v>85</v>
      </c>
      <c r="F23" s="6" t="s">
        <v>143</v>
      </c>
      <c r="G23" s="6" t="str" cm="1">
        <f t="array" ref="G23">_xlfn.SWITCH(F23,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#406672</v>
      </c>
      <c r="H23" t="s">
        <v>47</v>
      </c>
      <c r="I23" t="s">
        <v>88</v>
      </c>
      <c r="J23" t="s">
        <v>78</v>
      </c>
      <c r="K23">
        <v>166</v>
      </c>
      <c r="N23" t="b">
        <v>1</v>
      </c>
      <c r="O23" s="10" t="b">
        <v>1</v>
      </c>
      <c r="P23" s="6" t="b">
        <v>1</v>
      </c>
      <c r="Q23">
        <v>10</v>
      </c>
      <c r="R23">
        <v>-300</v>
      </c>
    </row>
    <row r="24" spans="1:18" x14ac:dyDescent="0.3">
      <c r="A24">
        <v>319</v>
      </c>
      <c r="B24" s="5" t="s">
        <v>39</v>
      </c>
      <c r="C24" t="str">
        <f t="shared" si="0"/>
        <v>Gold Ore_Name</v>
      </c>
      <c r="D24" s="6" t="str">
        <f t="shared" si="1"/>
        <v>Gold Ore_Description</v>
      </c>
      <c r="E24" s="6" t="s">
        <v>85</v>
      </c>
      <c r="F24" s="6" t="s">
        <v>143</v>
      </c>
      <c r="G24" s="6" t="str" cm="1">
        <f t="array" ref="G24">_xlfn.SWITCH(F24,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#406672</v>
      </c>
      <c r="H24" t="s">
        <v>47</v>
      </c>
      <c r="I24" t="s">
        <v>88</v>
      </c>
      <c r="J24" t="s">
        <v>78</v>
      </c>
      <c r="K24">
        <v>286</v>
      </c>
      <c r="N24" t="b">
        <v>1</v>
      </c>
      <c r="O24" s="10" t="b">
        <v>1</v>
      </c>
      <c r="P24" s="6" t="b">
        <v>1</v>
      </c>
      <c r="Q24">
        <v>25</v>
      </c>
      <c r="R24">
        <v>-300</v>
      </c>
    </row>
    <row r="25" spans="1:18" x14ac:dyDescent="0.3">
      <c r="A25">
        <v>320</v>
      </c>
      <c r="B25" s="5" t="s">
        <v>40</v>
      </c>
      <c r="C25" t="str">
        <f t="shared" si="0"/>
        <v>Diamond Ore_Name</v>
      </c>
      <c r="D25" s="6" t="str">
        <f t="shared" si="1"/>
        <v>Diamond Ore_Description</v>
      </c>
      <c r="E25" s="6" t="s">
        <v>85</v>
      </c>
      <c r="F25" s="6" t="s">
        <v>143</v>
      </c>
      <c r="G25" s="6" t="str" cm="1">
        <f t="array" ref="G25">_xlfn.SWITCH(F25,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#406672</v>
      </c>
      <c r="H25" t="s">
        <v>47</v>
      </c>
      <c r="I25" t="s">
        <v>88</v>
      </c>
      <c r="J25" t="s">
        <v>78</v>
      </c>
      <c r="K25">
        <v>246</v>
      </c>
      <c r="N25" t="b">
        <v>1</v>
      </c>
      <c r="O25" s="10" t="b">
        <v>1</v>
      </c>
      <c r="P25" s="6" t="b">
        <v>1</v>
      </c>
      <c r="Q25">
        <v>100</v>
      </c>
      <c r="R25">
        <v>-300</v>
      </c>
    </row>
    <row r="26" spans="1:18" x14ac:dyDescent="0.3">
      <c r="A26">
        <v>321</v>
      </c>
      <c r="B26" s="5" t="s">
        <v>124</v>
      </c>
      <c r="C26" t="str">
        <f t="shared" si="0"/>
        <v>Iron Bar_Name</v>
      </c>
      <c r="D26" s="6" t="str">
        <f t="shared" si="1"/>
        <v>Iron Bar_Description</v>
      </c>
      <c r="E26" s="6" t="s">
        <v>85</v>
      </c>
      <c r="F26" s="6" t="s">
        <v>143</v>
      </c>
      <c r="G26" s="6" t="str" cm="1">
        <f t="array" ref="G26">_xlfn.SWITCH(F26,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#406672</v>
      </c>
      <c r="H26" t="s">
        <v>47</v>
      </c>
      <c r="I26" t="s">
        <v>88</v>
      </c>
      <c r="J26" t="s">
        <v>78</v>
      </c>
      <c r="K26">
        <v>167</v>
      </c>
      <c r="N26" t="b">
        <v>1</v>
      </c>
      <c r="O26" s="10" t="b">
        <v>1</v>
      </c>
      <c r="P26" s="6" t="b">
        <v>1</v>
      </c>
      <c r="Q26">
        <v>120</v>
      </c>
      <c r="R26">
        <v>-300</v>
      </c>
    </row>
    <row r="27" spans="1:18" x14ac:dyDescent="0.3">
      <c r="A27">
        <v>322</v>
      </c>
      <c r="B27" s="5" t="s">
        <v>122</v>
      </c>
      <c r="C27" t="str">
        <f t="shared" si="0"/>
        <v>Gold Bar_Name</v>
      </c>
      <c r="D27" s="6" t="str">
        <f t="shared" si="1"/>
        <v>Gold Bar_Description</v>
      </c>
      <c r="E27" s="6" t="s">
        <v>85</v>
      </c>
      <c r="F27" s="6" t="s">
        <v>143</v>
      </c>
      <c r="G27" s="6" t="str" cm="1">
        <f t="array" ref="G27">_xlfn.SWITCH(F27,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#406672</v>
      </c>
      <c r="H27" t="s">
        <v>47</v>
      </c>
      <c r="I27" t="s">
        <v>88</v>
      </c>
      <c r="J27" t="s">
        <v>78</v>
      </c>
      <c r="K27">
        <v>287</v>
      </c>
      <c r="N27" t="b">
        <v>1</v>
      </c>
      <c r="O27" s="10" t="b">
        <v>1</v>
      </c>
      <c r="P27" s="6" t="b">
        <v>1</v>
      </c>
      <c r="Q27">
        <v>250</v>
      </c>
      <c r="R27">
        <v>-300</v>
      </c>
    </row>
    <row r="28" spans="1:18" x14ac:dyDescent="0.3">
      <c r="A28">
        <v>323</v>
      </c>
      <c r="B28" s="5" t="s">
        <v>123</v>
      </c>
      <c r="C28" t="str">
        <f t="shared" si="0"/>
        <v>Diamond Bar_Name</v>
      </c>
      <c r="D28" s="6" t="str">
        <f t="shared" si="1"/>
        <v>Diamond Bar_Description</v>
      </c>
      <c r="E28" s="6" t="s">
        <v>85</v>
      </c>
      <c r="F28" s="6" t="s">
        <v>143</v>
      </c>
      <c r="G28" s="6" t="str" cm="1">
        <f t="array" ref="G28">_xlfn.SWITCH(F28,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#406672</v>
      </c>
      <c r="H28" t="s">
        <v>47</v>
      </c>
      <c r="I28" t="s">
        <v>88</v>
      </c>
      <c r="J28" t="s">
        <v>78</v>
      </c>
      <c r="K28">
        <v>247</v>
      </c>
      <c r="N28" t="b">
        <v>1</v>
      </c>
      <c r="O28" s="10" t="b">
        <v>1</v>
      </c>
      <c r="P28" s="6" t="b">
        <v>1</v>
      </c>
      <c r="Q28">
        <v>1000</v>
      </c>
      <c r="R28">
        <v>-300</v>
      </c>
    </row>
    <row r="29" spans="1:18" x14ac:dyDescent="0.3">
      <c r="A29">
        <v>324</v>
      </c>
      <c r="B29" s="5" t="s">
        <v>157</v>
      </c>
      <c r="C29" t="str">
        <f t="shared" si="0"/>
        <v>Salt_Name</v>
      </c>
      <c r="D29" s="6" t="str">
        <f t="shared" si="1"/>
        <v>Salt_Description</v>
      </c>
      <c r="E29" s="6" t="s">
        <v>85</v>
      </c>
      <c r="F29" s="9" t="s">
        <v>156</v>
      </c>
      <c r="G29" s="6" t="str" cm="1">
        <f t="array" ref="G29">_xlfn.SWITCH(F29,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#009B6F</v>
      </c>
      <c r="H29" t="s">
        <v>47</v>
      </c>
      <c r="I29" t="s">
        <v>88</v>
      </c>
      <c r="J29" t="s">
        <v>78</v>
      </c>
      <c r="K29">
        <v>106</v>
      </c>
      <c r="N29" t="b">
        <v>1</v>
      </c>
      <c r="O29" s="10" t="b">
        <v>0</v>
      </c>
      <c r="P29" s="6" t="b">
        <v>1</v>
      </c>
      <c r="Q29">
        <v>0</v>
      </c>
      <c r="R29">
        <v>-300</v>
      </c>
    </row>
    <row r="30" spans="1:18" x14ac:dyDescent="0.3">
      <c r="A30">
        <v>325</v>
      </c>
      <c r="B30" s="5" t="s">
        <v>158</v>
      </c>
      <c r="C30" t="str">
        <f t="shared" si="0"/>
        <v>Oli_Name</v>
      </c>
      <c r="D30" s="6" t="str">
        <f t="shared" si="1"/>
        <v>Oli_Description</v>
      </c>
      <c r="E30" s="6" t="s">
        <v>85</v>
      </c>
      <c r="F30" s="9" t="s">
        <v>156</v>
      </c>
      <c r="G30" s="6" t="str" cm="1">
        <f t="array" ref="G30">_xlfn.SWITCH(F30,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#009B6F</v>
      </c>
      <c r="H30" t="s">
        <v>47</v>
      </c>
      <c r="I30" t="s">
        <v>88</v>
      </c>
      <c r="J30" t="s">
        <v>78</v>
      </c>
      <c r="K30">
        <v>108</v>
      </c>
      <c r="N30" t="b">
        <v>1</v>
      </c>
      <c r="O30" s="10" t="b">
        <v>0</v>
      </c>
      <c r="P30" s="6" t="b">
        <v>1</v>
      </c>
      <c r="Q30">
        <v>0</v>
      </c>
      <c r="R30">
        <v>-300</v>
      </c>
    </row>
    <row r="31" spans="1:18" x14ac:dyDescent="0.3">
      <c r="A31">
        <v>326</v>
      </c>
      <c r="B31" s="5" t="s">
        <v>160</v>
      </c>
      <c r="C31" t="str">
        <f t="shared" si="0"/>
        <v>Butter_Name</v>
      </c>
      <c r="D31" s="6" t="str">
        <f t="shared" si="1"/>
        <v>Butter_Description</v>
      </c>
      <c r="E31" s="6" t="s">
        <v>85</v>
      </c>
      <c r="F31" s="9" t="s">
        <v>156</v>
      </c>
      <c r="G31" s="6" t="str" cm="1">
        <f t="array" ref="G31">_xlfn.SWITCH(F31,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#009B6F</v>
      </c>
      <c r="H31" t="s">
        <v>47</v>
      </c>
      <c r="I31" t="s">
        <v>88</v>
      </c>
      <c r="J31" t="s">
        <v>78</v>
      </c>
      <c r="K31">
        <v>107</v>
      </c>
      <c r="N31" t="b">
        <v>1</v>
      </c>
      <c r="O31" s="10" t="b">
        <v>1</v>
      </c>
      <c r="P31" s="6" t="b">
        <v>1</v>
      </c>
      <c r="Q31">
        <v>0</v>
      </c>
      <c r="R31">
        <v>-300</v>
      </c>
    </row>
    <row r="32" spans="1:18" x14ac:dyDescent="0.3">
      <c r="A32">
        <v>327</v>
      </c>
      <c r="B32" s="5" t="s">
        <v>159</v>
      </c>
      <c r="C32" t="str">
        <f t="shared" si="0"/>
        <v>Creamy Veggie Soup_Name</v>
      </c>
      <c r="D32" s="6" t="str">
        <f t="shared" si="1"/>
        <v>Creamy Veggie Soup_Description</v>
      </c>
      <c r="E32" s="6" t="s">
        <v>85</v>
      </c>
      <c r="F32" s="9" t="s">
        <v>176</v>
      </c>
      <c r="G32" s="6" t="str" cm="1">
        <f t="array" ref="G32">_xlfn.SWITCH(F32,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#DC3C00</v>
      </c>
      <c r="H32" t="s">
        <v>175</v>
      </c>
      <c r="I32" t="s">
        <v>88</v>
      </c>
      <c r="J32" t="s">
        <v>78</v>
      </c>
      <c r="K32">
        <v>101</v>
      </c>
      <c r="N32" t="b">
        <v>1</v>
      </c>
      <c r="O32" s="10" t="b">
        <v>1</v>
      </c>
      <c r="P32" s="6" t="b">
        <v>1</v>
      </c>
      <c r="Q32">
        <v>120</v>
      </c>
      <c r="R32">
        <v>50</v>
      </c>
    </row>
    <row r="33" spans="1:18" x14ac:dyDescent="0.3">
      <c r="A33">
        <v>328</v>
      </c>
      <c r="B33" s="5" t="s">
        <v>161</v>
      </c>
      <c r="C33" t="str">
        <f t="shared" si="0"/>
        <v>Bread_Name</v>
      </c>
      <c r="D33" s="6" t="str">
        <f t="shared" si="1"/>
        <v>Bread_Description</v>
      </c>
      <c r="E33" s="6" t="s">
        <v>85</v>
      </c>
      <c r="F33" s="9" t="s">
        <v>176</v>
      </c>
      <c r="G33" s="6" t="str" cm="1">
        <f t="array" ref="G33">_xlfn.SWITCH(F33,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#DC3C00</v>
      </c>
      <c r="H33" t="s">
        <v>175</v>
      </c>
      <c r="I33" t="s">
        <v>88</v>
      </c>
      <c r="J33" t="s">
        <v>78</v>
      </c>
      <c r="K33">
        <v>102</v>
      </c>
      <c r="N33" t="b">
        <v>1</v>
      </c>
      <c r="O33" s="10" t="b">
        <v>1</v>
      </c>
      <c r="P33" s="6" t="b">
        <v>1</v>
      </c>
      <c r="Q33">
        <v>120</v>
      </c>
      <c r="R33">
        <v>50</v>
      </c>
    </row>
    <row r="34" spans="1:18" x14ac:dyDescent="0.3">
      <c r="A34">
        <v>329</v>
      </c>
      <c r="B34" s="5" t="s">
        <v>162</v>
      </c>
      <c r="C34" t="str">
        <f t="shared" si="0"/>
        <v>Potato Gratin_Name</v>
      </c>
      <c r="D34" s="6" t="str">
        <f t="shared" si="1"/>
        <v>Potato Gratin_Description</v>
      </c>
      <c r="E34" s="6" t="s">
        <v>85</v>
      </c>
      <c r="F34" s="9" t="s">
        <v>176</v>
      </c>
      <c r="G34" s="6" t="str" cm="1">
        <f t="array" ref="G34">_xlfn.SWITCH(F34,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#DC3C00</v>
      </c>
      <c r="H34" t="s">
        <v>175</v>
      </c>
      <c r="I34" t="s">
        <v>88</v>
      </c>
      <c r="J34" t="s">
        <v>78</v>
      </c>
      <c r="K34">
        <v>103</v>
      </c>
      <c r="N34" t="b">
        <v>1</v>
      </c>
      <c r="O34" s="10" t="b">
        <v>1</v>
      </c>
      <c r="P34" s="6" t="b">
        <v>1</v>
      </c>
      <c r="Q34">
        <v>120</v>
      </c>
      <c r="R34">
        <v>50</v>
      </c>
    </row>
    <row r="35" spans="1:18" x14ac:dyDescent="0.3">
      <c r="A35">
        <v>330</v>
      </c>
      <c r="B35" s="5" t="s">
        <v>163</v>
      </c>
      <c r="C35" t="str">
        <f t="shared" si="0"/>
        <v>Carrot Muffin_Name</v>
      </c>
      <c r="D35" s="6" t="str">
        <f t="shared" si="1"/>
        <v>Carrot Muffin_Description</v>
      </c>
      <c r="E35" s="6" t="s">
        <v>85</v>
      </c>
      <c r="F35" s="9" t="s">
        <v>176</v>
      </c>
      <c r="G35" s="6" t="str" cm="1">
        <f t="array" ref="G35">_xlfn.SWITCH(F35,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#DC3C00</v>
      </c>
      <c r="H35" t="s">
        <v>175</v>
      </c>
      <c r="I35" t="s">
        <v>88</v>
      </c>
      <c r="J35" t="s">
        <v>78</v>
      </c>
      <c r="K35">
        <v>104</v>
      </c>
      <c r="N35" t="b">
        <v>1</v>
      </c>
      <c r="O35" s="10" t="b">
        <v>1</v>
      </c>
      <c r="P35" s="6" t="b">
        <v>1</v>
      </c>
      <c r="Q35">
        <v>120</v>
      </c>
      <c r="R35">
        <v>50</v>
      </c>
    </row>
    <row r="36" spans="1:18" x14ac:dyDescent="0.3">
      <c r="A36">
        <v>331</v>
      </c>
      <c r="B36" s="5" t="s">
        <v>164</v>
      </c>
      <c r="C36" t="str">
        <f t="shared" si="0"/>
        <v>Parsnip Soup_Name</v>
      </c>
      <c r="D36" s="6" t="str">
        <f t="shared" si="1"/>
        <v>Parsnip Soup_Description</v>
      </c>
      <c r="E36" s="6" t="s">
        <v>85</v>
      </c>
      <c r="F36" s="9" t="s">
        <v>176</v>
      </c>
      <c r="G36" s="6" t="str" cm="1">
        <f t="array" ref="G36">_xlfn.SWITCH(F36,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#DC3C00</v>
      </c>
      <c r="H36" t="s">
        <v>175</v>
      </c>
      <c r="I36" t="s">
        <v>88</v>
      </c>
      <c r="J36" t="s">
        <v>78</v>
      </c>
      <c r="K36">
        <v>105</v>
      </c>
      <c r="N36" t="b">
        <v>1</v>
      </c>
      <c r="O36" s="10" t="b">
        <v>1</v>
      </c>
      <c r="P36" s="6" t="b">
        <v>1</v>
      </c>
      <c r="Q36">
        <v>120</v>
      </c>
      <c r="R36">
        <v>50</v>
      </c>
    </row>
    <row r="37" spans="1:18" x14ac:dyDescent="0.3">
      <c r="A37">
        <v>401</v>
      </c>
      <c r="B37" s="5" t="s">
        <v>37</v>
      </c>
      <c r="C37" t="str">
        <f t="shared" si="0"/>
        <v>Starfish_Name</v>
      </c>
      <c r="D37" s="6" t="str">
        <f t="shared" si="1"/>
        <v>Starfish_Description</v>
      </c>
      <c r="E37" s="6" t="s">
        <v>85</v>
      </c>
      <c r="F37" s="6" t="s">
        <v>42</v>
      </c>
      <c r="G37" s="6" t="str" cm="1">
        <f t="array" ref="G37">_xlfn.SWITCH(F37,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#00008B</v>
      </c>
      <c r="H37" s="9" t="s">
        <v>46</v>
      </c>
      <c r="I37" t="s">
        <v>88</v>
      </c>
      <c r="J37" t="s">
        <v>78</v>
      </c>
      <c r="K37">
        <v>24</v>
      </c>
      <c r="N37" t="b">
        <v>1</v>
      </c>
      <c r="O37" s="10" t="b">
        <v>1</v>
      </c>
      <c r="P37" s="6" t="b">
        <v>1</v>
      </c>
      <c r="Q37">
        <v>40</v>
      </c>
      <c r="R37">
        <v>-300</v>
      </c>
    </row>
    <row r="38" spans="1:18" x14ac:dyDescent="0.3">
      <c r="A38">
        <v>402</v>
      </c>
      <c r="B38" s="5" t="s">
        <v>50</v>
      </c>
      <c r="C38" t="str">
        <f t="shared" si="0"/>
        <v>Clam_Name</v>
      </c>
      <c r="D38" s="6" t="str">
        <f t="shared" si="1"/>
        <v>Clam_Description</v>
      </c>
      <c r="E38" s="6" t="s">
        <v>85</v>
      </c>
      <c r="F38" s="6" t="s">
        <v>42</v>
      </c>
      <c r="G38" s="6" t="str" cm="1">
        <f t="array" ref="G38">_xlfn.SWITCH(F38,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#00008B</v>
      </c>
      <c r="H38" s="9" t="s">
        <v>46</v>
      </c>
      <c r="I38" t="s">
        <v>88</v>
      </c>
      <c r="J38" t="s">
        <v>78</v>
      </c>
      <c r="K38">
        <v>26</v>
      </c>
      <c r="N38" t="b">
        <v>1</v>
      </c>
      <c r="O38" s="10" t="b">
        <v>1</v>
      </c>
      <c r="P38" s="6" t="b">
        <v>1</v>
      </c>
      <c r="Q38">
        <v>50</v>
      </c>
      <c r="R38">
        <v>-300</v>
      </c>
    </row>
    <row r="39" spans="1:18" x14ac:dyDescent="0.3">
      <c r="A39">
        <v>403</v>
      </c>
      <c r="B39" s="5" t="s">
        <v>152</v>
      </c>
      <c r="C39" t="str">
        <f t="shared" si="0"/>
        <v>Crab_Name</v>
      </c>
      <c r="D39" s="6" t="str">
        <f t="shared" si="1"/>
        <v>Crab_Description</v>
      </c>
      <c r="E39" s="6" t="s">
        <v>85</v>
      </c>
      <c r="F39" s="6" t="s">
        <v>42</v>
      </c>
      <c r="G39" s="6" t="str" cm="1">
        <f t="array" ref="G39">_xlfn.SWITCH(F39,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#00008B</v>
      </c>
      <c r="H39" s="9" t="s">
        <v>46</v>
      </c>
      <c r="I39" t="s">
        <v>88</v>
      </c>
      <c r="J39" t="s">
        <v>78</v>
      </c>
      <c r="K39">
        <v>27</v>
      </c>
      <c r="N39" t="b">
        <v>1</v>
      </c>
      <c r="O39" s="10" t="b">
        <v>1</v>
      </c>
      <c r="P39" s="6" t="b">
        <v>1</v>
      </c>
      <c r="Q39">
        <v>100</v>
      </c>
      <c r="R39">
        <v>10</v>
      </c>
    </row>
    <row r="40" spans="1:18" x14ac:dyDescent="0.3">
      <c r="A40">
        <v>404</v>
      </c>
      <c r="B40" s="5" t="s">
        <v>42</v>
      </c>
      <c r="C40" t="str">
        <f t="shared" si="0"/>
        <v>Fish_Name</v>
      </c>
      <c r="D40" s="6" t="str">
        <f t="shared" si="1"/>
        <v>Fish_Description</v>
      </c>
      <c r="E40" s="6" t="s">
        <v>85</v>
      </c>
      <c r="F40" s="6" t="s">
        <v>42</v>
      </c>
      <c r="G40" s="6" t="str" cm="1">
        <f t="array" ref="G40">_xlfn.SWITCH(F40,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#00008B</v>
      </c>
      <c r="H40" s="9" t="s">
        <v>46</v>
      </c>
      <c r="I40" t="s">
        <v>88</v>
      </c>
      <c r="J40" t="s">
        <v>78</v>
      </c>
      <c r="K40">
        <v>41</v>
      </c>
      <c r="N40" t="b">
        <v>1</v>
      </c>
      <c r="O40" s="10" t="b">
        <v>1</v>
      </c>
      <c r="P40" s="6" t="b">
        <v>1</v>
      </c>
      <c r="Q40">
        <v>50</v>
      </c>
      <c r="R40">
        <v>10</v>
      </c>
    </row>
    <row r="41" spans="1:18" x14ac:dyDescent="0.3">
      <c r="A41">
        <v>501</v>
      </c>
      <c r="B41" s="5" t="s">
        <v>41</v>
      </c>
      <c r="C41" t="str">
        <f t="shared" si="0"/>
        <v>Acorn_Name</v>
      </c>
      <c r="D41" s="6" t="str">
        <f t="shared" si="1"/>
        <v>Acorn_Description</v>
      </c>
      <c r="E41" s="6" t="s">
        <v>85</v>
      </c>
      <c r="F41" s="6" t="s">
        <v>147</v>
      </c>
      <c r="G41" s="6" t="str" cm="1">
        <f t="array" ref="G41">_xlfn.SWITCH(F41,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#0A8232</v>
      </c>
      <c r="H41" t="s">
        <v>44</v>
      </c>
      <c r="I41" t="s">
        <v>88</v>
      </c>
      <c r="J41" t="s">
        <v>78</v>
      </c>
      <c r="K41">
        <v>40</v>
      </c>
      <c r="N41" t="b">
        <v>1</v>
      </c>
      <c r="O41" s="10" t="b">
        <v>1</v>
      </c>
      <c r="P41" s="6" t="b">
        <v>1</v>
      </c>
      <c r="Q41">
        <v>20</v>
      </c>
      <c r="R41">
        <v>-300</v>
      </c>
    </row>
    <row r="42" spans="1:18" x14ac:dyDescent="0.3">
      <c r="A42">
        <v>502</v>
      </c>
      <c r="B42" s="5" t="s">
        <v>43</v>
      </c>
      <c r="C42" t="str">
        <f t="shared" si="0"/>
        <v>Crate_Name</v>
      </c>
      <c r="D42" s="6" t="str">
        <f t="shared" si="1"/>
        <v>Crate_Description</v>
      </c>
      <c r="E42" s="6" t="s">
        <v>85</v>
      </c>
      <c r="F42" s="6" t="s">
        <v>148</v>
      </c>
      <c r="G42" s="6" t="str" cm="1">
        <f t="array" ref="G42">_xlfn.SWITCH(F42,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#943D28</v>
      </c>
      <c r="H42" t="s">
        <v>44</v>
      </c>
      <c r="I42" t="s">
        <v>88</v>
      </c>
      <c r="J42" t="s">
        <v>78</v>
      </c>
      <c r="K42">
        <v>120</v>
      </c>
      <c r="N42" t="b">
        <v>1</v>
      </c>
      <c r="O42" s="10" t="b">
        <v>0</v>
      </c>
      <c r="P42" s="6" t="b">
        <v>0</v>
      </c>
      <c r="Q42">
        <v>1000</v>
      </c>
      <c r="R42">
        <v>-300</v>
      </c>
    </row>
    <row r="43" spans="1:18" x14ac:dyDescent="0.3">
      <c r="A43">
        <v>601</v>
      </c>
      <c r="B43" s="5" t="s">
        <v>58</v>
      </c>
      <c r="C43" t="str">
        <f t="shared" si="0"/>
        <v>Carrot Seeds_Name</v>
      </c>
      <c r="D43" s="6" t="str">
        <f t="shared" si="1"/>
        <v>Carrot Seeds_Description</v>
      </c>
      <c r="E43" s="6" t="s">
        <v>85</v>
      </c>
      <c r="F43" s="6" t="s">
        <v>149</v>
      </c>
      <c r="G43" s="6" t="str" cm="1">
        <f t="array" ref="G43">_xlfn.SWITCH(F43,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#A52A2A</v>
      </c>
      <c r="H43" s="9" t="s">
        <v>45</v>
      </c>
      <c r="I43" t="s">
        <v>88</v>
      </c>
      <c r="J43" t="s">
        <v>77</v>
      </c>
      <c r="K43">
        <v>0</v>
      </c>
      <c r="N43" t="b">
        <v>1</v>
      </c>
      <c r="O43" s="10" t="b">
        <v>1</v>
      </c>
      <c r="P43" s="6" t="b">
        <v>1</v>
      </c>
      <c r="Q43">
        <v>15</v>
      </c>
      <c r="R43">
        <v>-300</v>
      </c>
    </row>
    <row r="44" spans="1:18" x14ac:dyDescent="0.3">
      <c r="A44">
        <v>602</v>
      </c>
      <c r="B44" s="5" t="s">
        <v>1</v>
      </c>
      <c r="C44" t="str">
        <f t="shared" si="0"/>
        <v>Cauliflower Seeds_Name</v>
      </c>
      <c r="D44" s="6" t="str">
        <f t="shared" si="1"/>
        <v>Cauliflower Seeds_Description</v>
      </c>
      <c r="E44" s="6" t="s">
        <v>85</v>
      </c>
      <c r="F44" s="6" t="s">
        <v>149</v>
      </c>
      <c r="G44" s="6" t="str" cm="1">
        <f t="array" ref="G44">_xlfn.SWITCH(F44,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#A52A2A</v>
      </c>
      <c r="H44" s="9" t="s">
        <v>45</v>
      </c>
      <c r="I44" t="s">
        <v>88</v>
      </c>
      <c r="J44" t="s">
        <v>77</v>
      </c>
      <c r="K44">
        <v>8</v>
      </c>
      <c r="N44" t="b">
        <v>1</v>
      </c>
      <c r="O44" s="10" t="b">
        <v>1</v>
      </c>
      <c r="P44" s="6" t="b">
        <v>1</v>
      </c>
      <c r="Q44">
        <v>40</v>
      </c>
      <c r="R44">
        <v>-300</v>
      </c>
    </row>
    <row r="45" spans="1:18" x14ac:dyDescent="0.3">
      <c r="A45">
        <v>603</v>
      </c>
      <c r="B45" s="5" t="s">
        <v>59</v>
      </c>
      <c r="C45" t="str">
        <f t="shared" si="0"/>
        <v>Pumpkin Seeds_Name</v>
      </c>
      <c r="D45" s="6" t="str">
        <f t="shared" si="1"/>
        <v>Pumpkin Seeds_Description</v>
      </c>
      <c r="E45" s="6" t="s">
        <v>85</v>
      </c>
      <c r="F45" s="6" t="s">
        <v>149</v>
      </c>
      <c r="G45" s="6" t="str" cm="1">
        <f t="array" ref="G45">_xlfn.SWITCH(F45,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#A52A2A</v>
      </c>
      <c r="H45" s="9" t="s">
        <v>45</v>
      </c>
      <c r="I45" t="s">
        <v>88</v>
      </c>
      <c r="J45" t="s">
        <v>77</v>
      </c>
      <c r="K45">
        <v>16</v>
      </c>
      <c r="N45" t="b">
        <v>1</v>
      </c>
      <c r="O45" s="10" t="b">
        <v>1</v>
      </c>
      <c r="P45" s="6" t="b">
        <v>1</v>
      </c>
      <c r="Q45">
        <v>50</v>
      </c>
      <c r="R45">
        <v>-300</v>
      </c>
    </row>
    <row r="46" spans="1:18" x14ac:dyDescent="0.3">
      <c r="A46">
        <v>604</v>
      </c>
      <c r="B46" s="5" t="s">
        <v>60</v>
      </c>
      <c r="C46" t="str">
        <f t="shared" si="0"/>
        <v>Sunflower Seeds_Name</v>
      </c>
      <c r="D46" s="6" t="str">
        <f t="shared" si="1"/>
        <v>Sunflower Seeds_Description</v>
      </c>
      <c r="E46" s="6" t="s">
        <v>85</v>
      </c>
      <c r="F46" s="6" t="s">
        <v>149</v>
      </c>
      <c r="G46" s="6" t="str" cm="1">
        <f t="array" ref="G46">_xlfn.SWITCH(F46,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#A52A2A</v>
      </c>
      <c r="H46" s="9" t="s">
        <v>45</v>
      </c>
      <c r="I46" t="s">
        <v>88</v>
      </c>
      <c r="J46" t="s">
        <v>77</v>
      </c>
      <c r="K46">
        <v>24</v>
      </c>
      <c r="N46" t="b">
        <v>1</v>
      </c>
      <c r="O46" s="10" t="b">
        <v>1</v>
      </c>
      <c r="P46" s="6" t="b">
        <v>1</v>
      </c>
      <c r="Q46">
        <v>20</v>
      </c>
      <c r="R46">
        <v>-300</v>
      </c>
    </row>
    <row r="47" spans="1:18" x14ac:dyDescent="0.3">
      <c r="A47">
        <v>605</v>
      </c>
      <c r="B47" s="5" t="s">
        <v>4</v>
      </c>
      <c r="C47" t="str">
        <f t="shared" si="0"/>
        <v>Radish Seeds_Name</v>
      </c>
      <c r="D47" s="6" t="str">
        <f t="shared" si="1"/>
        <v>Radish Seeds_Description</v>
      </c>
      <c r="E47" s="6" t="s">
        <v>85</v>
      </c>
      <c r="F47" s="6" t="s">
        <v>149</v>
      </c>
      <c r="G47" s="6" t="str" cm="1">
        <f t="array" ref="G47">_xlfn.SWITCH(F47,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#A52A2A</v>
      </c>
      <c r="H47" s="9" t="s">
        <v>45</v>
      </c>
      <c r="I47" t="s">
        <v>88</v>
      </c>
      <c r="J47" t="s">
        <v>77</v>
      </c>
      <c r="K47">
        <v>32</v>
      </c>
      <c r="N47" t="b">
        <v>1</v>
      </c>
      <c r="O47" s="10" t="b">
        <v>1</v>
      </c>
      <c r="P47" s="6" t="b">
        <v>1</v>
      </c>
      <c r="Q47">
        <v>20</v>
      </c>
      <c r="R47">
        <v>-300</v>
      </c>
    </row>
    <row r="48" spans="1:18" x14ac:dyDescent="0.3">
      <c r="A48">
        <v>606</v>
      </c>
      <c r="B48" s="5" t="s">
        <v>0</v>
      </c>
      <c r="C48" t="str">
        <f t="shared" si="0"/>
        <v>Parsnip Seeds_Name</v>
      </c>
      <c r="D48" s="6" t="str">
        <f t="shared" si="1"/>
        <v>Parsnip Seeds_Description</v>
      </c>
      <c r="E48" s="6" t="s">
        <v>85</v>
      </c>
      <c r="F48" s="6" t="s">
        <v>149</v>
      </c>
      <c r="G48" s="6" t="str" cm="1">
        <f t="array" ref="G48">_xlfn.SWITCH(F48,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#A52A2A</v>
      </c>
      <c r="H48" s="9" t="s">
        <v>45</v>
      </c>
      <c r="I48" t="s">
        <v>88</v>
      </c>
      <c r="J48" t="s">
        <v>77</v>
      </c>
      <c r="K48">
        <v>40</v>
      </c>
      <c r="N48" t="b">
        <v>1</v>
      </c>
      <c r="O48" s="10" t="b">
        <v>1</v>
      </c>
      <c r="P48" s="6" t="b">
        <v>1</v>
      </c>
      <c r="Q48">
        <v>10</v>
      </c>
      <c r="R48">
        <v>-300</v>
      </c>
    </row>
    <row r="49" spans="1:18" x14ac:dyDescent="0.3">
      <c r="A49">
        <v>607</v>
      </c>
      <c r="B49" s="5" t="s">
        <v>2</v>
      </c>
      <c r="C49" t="str">
        <f t="shared" si="0"/>
        <v>Potato Seeds_Name</v>
      </c>
      <c r="D49" s="6" t="str">
        <f t="shared" si="1"/>
        <v>Potato Seeds_Description</v>
      </c>
      <c r="E49" s="6" t="s">
        <v>85</v>
      </c>
      <c r="F49" s="6" t="s">
        <v>149</v>
      </c>
      <c r="G49" s="6" t="str" cm="1">
        <f t="array" ref="G49">_xlfn.SWITCH(F49,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#A52A2A</v>
      </c>
      <c r="H49" s="9" t="s">
        <v>45</v>
      </c>
      <c r="I49" t="s">
        <v>88</v>
      </c>
      <c r="J49" t="s">
        <v>77</v>
      </c>
      <c r="K49">
        <v>48</v>
      </c>
      <c r="N49" t="b">
        <v>1</v>
      </c>
      <c r="O49" s="10" t="b">
        <v>1</v>
      </c>
      <c r="P49" s="6" t="b">
        <v>1</v>
      </c>
      <c r="Q49">
        <v>25</v>
      </c>
      <c r="R49">
        <v>-300</v>
      </c>
    </row>
    <row r="50" spans="1:18" x14ac:dyDescent="0.3">
      <c r="A50">
        <v>608</v>
      </c>
      <c r="B50" s="5" t="s">
        <v>61</v>
      </c>
      <c r="C50" t="str">
        <f t="shared" si="0"/>
        <v>Red Cabbage Seeds_Name</v>
      </c>
      <c r="D50" s="6" t="str">
        <f t="shared" si="1"/>
        <v>Red Cabbage Seeds_Description</v>
      </c>
      <c r="E50" s="6" t="s">
        <v>85</v>
      </c>
      <c r="F50" s="6" t="s">
        <v>149</v>
      </c>
      <c r="G50" s="6" t="str" cm="1">
        <f t="array" ref="G50">_xlfn.SWITCH(F50,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#A52A2A</v>
      </c>
      <c r="H50" s="9" t="s">
        <v>45</v>
      </c>
      <c r="I50" t="s">
        <v>88</v>
      </c>
      <c r="J50" t="s">
        <v>77</v>
      </c>
      <c r="K50">
        <v>56</v>
      </c>
      <c r="N50" t="b">
        <v>1</v>
      </c>
      <c r="O50" s="10" t="b">
        <v>1</v>
      </c>
      <c r="P50" s="6" t="b">
        <v>1</v>
      </c>
      <c r="Q50">
        <v>50</v>
      </c>
      <c r="R50">
        <v>-300</v>
      </c>
    </row>
    <row r="51" spans="1:18" x14ac:dyDescent="0.3">
      <c r="A51">
        <v>609</v>
      </c>
      <c r="B51" s="5" t="s">
        <v>62</v>
      </c>
      <c r="C51" t="str">
        <f t="shared" si="0"/>
        <v>Beetroot Seeds_Name</v>
      </c>
      <c r="D51" s="6" t="str">
        <f t="shared" si="1"/>
        <v>Beetroot Seeds_Description</v>
      </c>
      <c r="E51" s="6" t="s">
        <v>85</v>
      </c>
      <c r="F51" s="6" t="s">
        <v>149</v>
      </c>
      <c r="G51" s="6" t="str" cm="1">
        <f t="array" ref="G51">_xlfn.SWITCH(F51,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#A52A2A</v>
      </c>
      <c r="H51" s="9" t="s">
        <v>45</v>
      </c>
      <c r="I51" t="s">
        <v>88</v>
      </c>
      <c r="J51" t="s">
        <v>77</v>
      </c>
      <c r="K51">
        <v>64</v>
      </c>
      <c r="N51" t="b">
        <v>1</v>
      </c>
      <c r="O51" s="10" t="b">
        <v>1</v>
      </c>
      <c r="P51" s="6" t="b">
        <v>1</v>
      </c>
      <c r="Q51">
        <v>10</v>
      </c>
      <c r="R51">
        <v>-300</v>
      </c>
    </row>
    <row r="52" spans="1:18" x14ac:dyDescent="0.3">
      <c r="A52">
        <v>610</v>
      </c>
      <c r="B52" s="5" t="s">
        <v>8</v>
      </c>
      <c r="C52" t="str">
        <f t="shared" si="0"/>
        <v>Wheat Seeds_Name</v>
      </c>
      <c r="D52" s="6" t="str">
        <f t="shared" si="1"/>
        <v>Wheat Seeds_Description</v>
      </c>
      <c r="E52" s="6" t="s">
        <v>85</v>
      </c>
      <c r="F52" s="6" t="s">
        <v>149</v>
      </c>
      <c r="G52" s="6" t="str" cm="1">
        <f t="array" ref="G52">_xlfn.SWITCH(F52,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#A52A2A</v>
      </c>
      <c r="H52" s="9" t="s">
        <v>45</v>
      </c>
      <c r="I52" t="s">
        <v>88</v>
      </c>
      <c r="J52" t="s">
        <v>77</v>
      </c>
      <c r="K52">
        <v>72</v>
      </c>
      <c r="N52" t="b">
        <v>1</v>
      </c>
      <c r="O52" s="10" t="b">
        <v>1</v>
      </c>
      <c r="P52" s="6" t="b">
        <v>1</v>
      </c>
      <c r="Q52">
        <v>5</v>
      </c>
      <c r="R52">
        <v>-300</v>
      </c>
    </row>
    <row r="53" spans="1:18" x14ac:dyDescent="0.3">
      <c r="A53">
        <v>611</v>
      </c>
      <c r="B53" s="5" t="s">
        <v>3</v>
      </c>
      <c r="C53" t="str">
        <f t="shared" si="0"/>
        <v>Kale Seeds_Name</v>
      </c>
      <c r="D53" s="6" t="str">
        <f t="shared" si="1"/>
        <v>Kale Seeds_Description</v>
      </c>
      <c r="E53" s="6" t="s">
        <v>85</v>
      </c>
      <c r="F53" s="6" t="s">
        <v>149</v>
      </c>
      <c r="G53" s="6" t="str" cm="1">
        <f t="array" ref="G53">_xlfn.SWITCH(F53,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#A52A2A</v>
      </c>
      <c r="H53" s="9" t="s">
        <v>45</v>
      </c>
      <c r="I53" t="s">
        <v>88</v>
      </c>
      <c r="J53" t="s">
        <v>77</v>
      </c>
      <c r="K53">
        <v>80</v>
      </c>
      <c r="N53" t="b">
        <v>1</v>
      </c>
      <c r="O53" s="10" t="b">
        <v>1</v>
      </c>
      <c r="P53" s="6" t="b">
        <v>1</v>
      </c>
      <c r="Q53">
        <v>35</v>
      </c>
      <c r="R53">
        <v>-300</v>
      </c>
    </row>
    <row r="54" spans="1:18" x14ac:dyDescent="0.3">
      <c r="A54">
        <v>801</v>
      </c>
      <c r="B54" s="5" t="s">
        <v>170</v>
      </c>
      <c r="C54" t="str">
        <f t="shared" si="0"/>
        <v>Creamy Veggie Soup Recipe_Name</v>
      </c>
      <c r="D54" s="6" t="str">
        <f t="shared" si="1"/>
        <v>Creamy Veggie Soup Recipe_Description</v>
      </c>
      <c r="E54" s="6" t="s">
        <v>179</v>
      </c>
      <c r="F54" s="6" t="s">
        <v>154</v>
      </c>
      <c r="G54" s="6" t="str" cm="1">
        <f t="array" ref="G54">_xlfn.SWITCH(F54,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#DC3C00</v>
      </c>
      <c r="H54" s="9" t="s">
        <v>180</v>
      </c>
      <c r="I54" t="s">
        <v>88</v>
      </c>
      <c r="J54" t="s">
        <v>78</v>
      </c>
      <c r="K54">
        <v>100</v>
      </c>
    </row>
    <row r="55" spans="1:18" x14ac:dyDescent="0.3">
      <c r="A55">
        <v>802</v>
      </c>
      <c r="B55" s="5" t="s">
        <v>171</v>
      </c>
      <c r="C55" t="str">
        <f t="shared" si="0"/>
        <v>Bread Recipe_Name</v>
      </c>
      <c r="D55" s="6" t="str">
        <f t="shared" si="1"/>
        <v>Bread Recipe_Description</v>
      </c>
      <c r="E55" s="6" t="s">
        <v>85</v>
      </c>
      <c r="F55" s="6" t="s">
        <v>154</v>
      </c>
      <c r="G55" s="6" t="str" cm="1">
        <f t="array" ref="G55">_xlfn.SWITCH(F55,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#DC3C00</v>
      </c>
      <c r="H55" s="9" t="s">
        <v>180</v>
      </c>
      <c r="I55" t="s">
        <v>88</v>
      </c>
      <c r="J55" t="s">
        <v>78</v>
      </c>
      <c r="K55">
        <v>100</v>
      </c>
    </row>
    <row r="56" spans="1:18" x14ac:dyDescent="0.3">
      <c r="A56">
        <v>803</v>
      </c>
      <c r="B56" s="5" t="s">
        <v>172</v>
      </c>
      <c r="C56" t="str">
        <f t="shared" si="0"/>
        <v>Potato Gratin Recipe_Name</v>
      </c>
      <c r="D56" s="6" t="str">
        <f t="shared" si="1"/>
        <v>Potato Gratin Recipe_Description</v>
      </c>
      <c r="E56" s="6" t="s">
        <v>85</v>
      </c>
      <c r="F56" s="6" t="s">
        <v>154</v>
      </c>
      <c r="G56" s="6" t="str" cm="1">
        <f t="array" ref="G56">_xlfn.SWITCH(F56,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#DC3C00</v>
      </c>
      <c r="H56" s="9" t="s">
        <v>180</v>
      </c>
      <c r="I56" t="s">
        <v>88</v>
      </c>
      <c r="J56" t="s">
        <v>78</v>
      </c>
      <c r="K56">
        <v>100</v>
      </c>
    </row>
    <row r="57" spans="1:18" x14ac:dyDescent="0.3">
      <c r="A57">
        <v>804</v>
      </c>
      <c r="B57" s="5" t="s">
        <v>173</v>
      </c>
      <c r="C57" t="str">
        <f t="shared" si="0"/>
        <v>Carrot Muffin Recipe_Name</v>
      </c>
      <c r="D57" s="6" t="str">
        <f t="shared" si="1"/>
        <v>Carrot Muffin Recipe_Description</v>
      </c>
      <c r="E57" s="6" t="s">
        <v>85</v>
      </c>
      <c r="F57" s="6" t="s">
        <v>154</v>
      </c>
      <c r="G57" s="6" t="str" cm="1">
        <f t="array" ref="G57">_xlfn.SWITCH(F57,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#DC3C00</v>
      </c>
      <c r="H57" s="9" t="s">
        <v>180</v>
      </c>
      <c r="I57" t="s">
        <v>88</v>
      </c>
      <c r="J57" t="s">
        <v>78</v>
      </c>
      <c r="K57">
        <v>100</v>
      </c>
    </row>
    <row r="58" spans="1:18" x14ac:dyDescent="0.3">
      <c r="A58">
        <v>805</v>
      </c>
      <c r="B58" s="5" t="s">
        <v>174</v>
      </c>
      <c r="C58" t="str">
        <f t="shared" si="0"/>
        <v>Parsnip Soup Recipe_Name</v>
      </c>
      <c r="D58" s="6" t="str">
        <f t="shared" si="1"/>
        <v>Parsnip Soup Recipe_Description</v>
      </c>
      <c r="E58" s="6" t="s">
        <v>85</v>
      </c>
      <c r="F58" s="6" t="s">
        <v>154</v>
      </c>
      <c r="G58" s="6" t="str" cm="1">
        <f t="array" ref="G58">_xlfn.SWITCH(F58,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"Cooking", "#DC3C00","미지정")</f>
        <v>#DC3C00</v>
      </c>
      <c r="H58" s="9" t="s">
        <v>180</v>
      </c>
      <c r="I58" t="s">
        <v>88</v>
      </c>
      <c r="J58" t="s">
        <v>78</v>
      </c>
      <c r="K58">
        <v>100</v>
      </c>
    </row>
  </sheetData>
  <sortState xmlns:xlrd2="http://schemas.microsoft.com/office/spreadsheetml/2017/richdata2" ref="A5:S43">
    <sortCondition ref="A5:A43"/>
  </sortState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DeleteSpecificValueCells">
                <anchor moveWithCells="1" sizeWithCells="1">
                  <from>
                    <xdr:col>16</xdr:col>
                    <xdr:colOff>0</xdr:colOff>
                    <xdr:row>0</xdr:row>
                    <xdr:rowOff>0</xdr:rowOff>
                  </from>
                  <to>
                    <xdr:col>17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B807-286F-412B-AC69-257E021F784F}">
  <dimension ref="A3:AJ53"/>
  <sheetViews>
    <sheetView zoomScale="85" zoomScaleNormal="85" workbookViewId="0">
      <pane ySplit="4" topLeftCell="A5" activePane="bottomLeft" state="frozen"/>
      <selection pane="bottomLeft" activeCell="F33" sqref="F33"/>
    </sheetView>
  </sheetViews>
  <sheetFormatPr defaultRowHeight="16.5" x14ac:dyDescent="0.3"/>
  <cols>
    <col min="1" max="1" width="11.125" bestFit="1" customWidth="1"/>
    <col min="2" max="2" width="21.625" bestFit="1" customWidth="1"/>
    <col min="3" max="3" width="28" bestFit="1" customWidth="1"/>
    <col min="4" max="4" width="33.125" bestFit="1" customWidth="1"/>
    <col min="5" max="5" width="10.875" bestFit="1" customWidth="1"/>
    <col min="6" max="6" width="10.25" bestFit="1" customWidth="1"/>
    <col min="7" max="7" width="14.875" bestFit="1" customWidth="1"/>
    <col min="8" max="8" width="11" bestFit="1" customWidth="1"/>
    <col min="9" max="9" width="15.75" bestFit="1" customWidth="1"/>
    <col min="10" max="10" width="13.5" bestFit="1" customWidth="1"/>
    <col min="11" max="11" width="12.875" bestFit="1" customWidth="1"/>
    <col min="12" max="12" width="7.625" bestFit="1" customWidth="1"/>
    <col min="13" max="13" width="13.375" bestFit="1" customWidth="1"/>
    <col min="14" max="14" width="11.5" bestFit="1" customWidth="1"/>
    <col min="15" max="15" width="18.75" style="10" bestFit="1" customWidth="1"/>
    <col min="16" max="16" width="15.625" bestFit="1" customWidth="1"/>
    <col min="17" max="17" width="10.875" bestFit="1" customWidth="1"/>
    <col min="18" max="18" width="14.875" bestFit="1" customWidth="1"/>
    <col min="19" max="19" width="17" bestFit="1" customWidth="1"/>
    <col min="20" max="20" width="15" bestFit="1" customWidth="1"/>
    <col min="21" max="21" width="13.375" customWidth="1"/>
    <col min="22" max="22" width="12" bestFit="1" customWidth="1"/>
    <col min="23" max="32" width="13.375" customWidth="1"/>
  </cols>
  <sheetData>
    <row r="3" spans="1:36" ht="17.25" customHeight="1" x14ac:dyDescent="0.3">
      <c r="A3" s="1" t="s">
        <v>91</v>
      </c>
      <c r="B3" s="1"/>
      <c r="C3" s="1"/>
      <c r="D3" s="3"/>
      <c r="E3" s="3"/>
      <c r="F3" s="3"/>
      <c r="G3" s="3"/>
      <c r="H3" s="2"/>
      <c r="I3" s="2"/>
      <c r="J3" s="2"/>
      <c r="K3" s="3"/>
      <c r="L3" s="3"/>
      <c r="M3" s="3"/>
      <c r="N3" s="3"/>
      <c r="O3" s="11"/>
      <c r="P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17.25" customHeight="1" x14ac:dyDescent="0.3">
      <c r="A4" s="4" t="s">
        <v>17</v>
      </c>
      <c r="B4" s="4" t="s">
        <v>18</v>
      </c>
      <c r="C4" s="4" t="s">
        <v>19</v>
      </c>
      <c r="D4" s="7" t="s">
        <v>20</v>
      </c>
      <c r="E4" s="7" t="s">
        <v>84</v>
      </c>
      <c r="F4" s="7" t="s">
        <v>142</v>
      </c>
      <c r="G4" s="7" t="s">
        <v>150</v>
      </c>
      <c r="H4" s="4" t="s">
        <v>92</v>
      </c>
      <c r="I4" s="4" t="s">
        <v>86</v>
      </c>
      <c r="J4" s="4" t="s">
        <v>87</v>
      </c>
      <c r="K4" s="4" t="s">
        <v>23</v>
      </c>
      <c r="L4" s="4" t="s">
        <v>25</v>
      </c>
      <c r="M4" s="4" t="s">
        <v>51</v>
      </c>
      <c r="N4" s="4" t="s">
        <v>141</v>
      </c>
      <c r="O4" s="7" t="s">
        <v>26</v>
      </c>
      <c r="P4" s="4" t="s">
        <v>27</v>
      </c>
      <c r="Q4" s="8" t="s">
        <v>93</v>
      </c>
      <c r="R4" s="4" t="s">
        <v>94</v>
      </c>
      <c r="S4" s="4" t="s">
        <v>140</v>
      </c>
      <c r="T4" s="4"/>
      <c r="V4" s="3"/>
      <c r="W4" s="3"/>
      <c r="X4" s="3"/>
      <c r="Y4" s="3"/>
    </row>
    <row r="5" spans="1:36" x14ac:dyDescent="0.3">
      <c r="A5">
        <v>7010</v>
      </c>
      <c r="B5" s="5" t="s">
        <v>98</v>
      </c>
      <c r="C5" t="str">
        <f>B5 &amp; "_Name"</f>
        <v>Axe_Name</v>
      </c>
      <c r="D5" t="str">
        <f>B5 &amp; "_Description"</f>
        <v>Axe_Description</v>
      </c>
      <c r="E5" s="6" t="s">
        <v>95</v>
      </c>
      <c r="F5" s="6" t="s">
        <v>151</v>
      </c>
      <c r="G5" s="6" t="str" cm="1">
        <f t="array" ref="G5">_xlfn.SWITCH(F5,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"미지정")</f>
        <v>#313131</v>
      </c>
      <c r="H5" t="s">
        <v>102</v>
      </c>
      <c r="I5" t="s">
        <v>88</v>
      </c>
      <c r="J5" t="s">
        <v>96</v>
      </c>
      <c r="K5">
        <v>5</v>
      </c>
      <c r="P5" s="6"/>
      <c r="Q5">
        <v>-1</v>
      </c>
      <c r="R5">
        <v>0</v>
      </c>
      <c r="T5" s="6"/>
    </row>
    <row r="6" spans="1:36" x14ac:dyDescent="0.3">
      <c r="A6">
        <v>7011</v>
      </c>
      <c r="B6" s="5" t="s">
        <v>107</v>
      </c>
      <c r="C6" t="str">
        <f t="shared" ref="C6:C24" si="0">B6 &amp; "_Name"</f>
        <v>SteelAxe_Name</v>
      </c>
      <c r="D6" t="str">
        <f t="shared" ref="D6:D24" si="1">B6 &amp; "_Description"</f>
        <v>SteelAxe_Description</v>
      </c>
      <c r="E6" s="6" t="s">
        <v>95</v>
      </c>
      <c r="F6" s="6" t="s">
        <v>151</v>
      </c>
      <c r="G6" s="6" t="str" cm="1">
        <f t="array" ref="G6">_xlfn.SWITCH(F6,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"미지정")</f>
        <v>#313131</v>
      </c>
      <c r="H6" t="s">
        <v>102</v>
      </c>
      <c r="I6" t="s">
        <v>88</v>
      </c>
      <c r="J6" t="s">
        <v>96</v>
      </c>
      <c r="K6">
        <v>6</v>
      </c>
      <c r="P6" s="6"/>
      <c r="Q6">
        <v>5000</v>
      </c>
      <c r="R6">
        <v>1</v>
      </c>
      <c r="S6" t="s">
        <v>125</v>
      </c>
      <c r="T6" s="6"/>
    </row>
    <row r="7" spans="1:36" x14ac:dyDescent="0.3">
      <c r="A7">
        <v>7012</v>
      </c>
      <c r="B7" s="5" t="s">
        <v>108</v>
      </c>
      <c r="C7" t="str">
        <f t="shared" si="0"/>
        <v>GoldAxe_Name</v>
      </c>
      <c r="D7" t="str">
        <f t="shared" si="1"/>
        <v>GoldAxe_Description</v>
      </c>
      <c r="E7" s="6" t="s">
        <v>95</v>
      </c>
      <c r="F7" s="6" t="s">
        <v>151</v>
      </c>
      <c r="G7" s="6" t="str" cm="1">
        <f t="array" ref="G7">_xlfn.SWITCH(F7,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"미지정")</f>
        <v>#313131</v>
      </c>
      <c r="H7" t="s">
        <v>102</v>
      </c>
      <c r="I7" t="s">
        <v>88</v>
      </c>
      <c r="J7" t="s">
        <v>96</v>
      </c>
      <c r="K7">
        <v>7</v>
      </c>
      <c r="P7" s="6"/>
      <c r="Q7">
        <v>10000</v>
      </c>
      <c r="R7">
        <v>2</v>
      </c>
      <c r="S7" t="s">
        <v>126</v>
      </c>
      <c r="T7" s="6"/>
    </row>
    <row r="8" spans="1:36" x14ac:dyDescent="0.3">
      <c r="A8">
        <v>7013</v>
      </c>
      <c r="B8" s="5" t="s">
        <v>109</v>
      </c>
      <c r="C8" t="str">
        <f t="shared" si="0"/>
        <v>DiamondAxe_Name</v>
      </c>
      <c r="D8" t="str">
        <f t="shared" si="1"/>
        <v>DiamondAxe_Description</v>
      </c>
      <c r="E8" s="6" t="s">
        <v>95</v>
      </c>
      <c r="F8" s="6" t="s">
        <v>151</v>
      </c>
      <c r="G8" s="6" t="str" cm="1">
        <f t="array" ref="G8">_xlfn.SWITCH(F8,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"미지정")</f>
        <v>#313131</v>
      </c>
      <c r="H8" t="s">
        <v>102</v>
      </c>
      <c r="I8" t="s">
        <v>88</v>
      </c>
      <c r="J8" t="s">
        <v>96</v>
      </c>
      <c r="K8">
        <v>8</v>
      </c>
      <c r="P8" s="6"/>
      <c r="Q8">
        <v>25000</v>
      </c>
      <c r="R8">
        <v>3</v>
      </c>
      <c r="S8" s="12" t="s">
        <v>127</v>
      </c>
      <c r="T8" s="6"/>
    </row>
    <row r="9" spans="1:36" x14ac:dyDescent="0.3">
      <c r="A9">
        <v>7020</v>
      </c>
      <c r="B9" s="5" t="s">
        <v>101</v>
      </c>
      <c r="C9" t="str">
        <f t="shared" si="0"/>
        <v>FishingRod_Name</v>
      </c>
      <c r="D9" t="str">
        <f t="shared" si="1"/>
        <v>FishingRod_Description</v>
      </c>
      <c r="E9" s="6" t="s">
        <v>95</v>
      </c>
      <c r="F9" s="6" t="s">
        <v>151</v>
      </c>
      <c r="G9" s="6" t="str" cm="1">
        <f t="array" ref="G9">_xlfn.SWITCH(F9,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"미지정")</f>
        <v>#313131</v>
      </c>
      <c r="H9" t="s">
        <v>104</v>
      </c>
      <c r="I9" t="s">
        <v>88</v>
      </c>
      <c r="J9" t="s">
        <v>96</v>
      </c>
      <c r="K9">
        <v>30</v>
      </c>
      <c r="P9" s="6"/>
      <c r="Q9">
        <v>2000</v>
      </c>
      <c r="R9">
        <v>0</v>
      </c>
      <c r="T9" s="6"/>
    </row>
    <row r="10" spans="1:36" x14ac:dyDescent="0.3">
      <c r="A10">
        <v>7021</v>
      </c>
      <c r="B10" s="5" t="s">
        <v>110</v>
      </c>
      <c r="C10" t="str">
        <f t="shared" si="0"/>
        <v>SteelFishingRod_Name</v>
      </c>
      <c r="D10" t="str">
        <f t="shared" si="1"/>
        <v>SteelFishingRod_Description</v>
      </c>
      <c r="E10" s="6" t="s">
        <v>95</v>
      </c>
      <c r="F10" s="6" t="s">
        <v>151</v>
      </c>
      <c r="G10" s="6" t="str" cm="1">
        <f t="array" ref="G10">_xlfn.SWITCH(F10,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"미지정")</f>
        <v>#313131</v>
      </c>
      <c r="H10" t="s">
        <v>104</v>
      </c>
      <c r="I10" t="s">
        <v>88</v>
      </c>
      <c r="J10" t="s">
        <v>96</v>
      </c>
      <c r="K10">
        <v>31</v>
      </c>
      <c r="P10" s="6"/>
      <c r="Q10">
        <v>5000</v>
      </c>
      <c r="R10">
        <v>1</v>
      </c>
      <c r="S10" t="s">
        <v>128</v>
      </c>
      <c r="T10" s="6"/>
    </row>
    <row r="11" spans="1:36" x14ac:dyDescent="0.3">
      <c r="A11">
        <v>7022</v>
      </c>
      <c r="B11" s="5" t="s">
        <v>111</v>
      </c>
      <c r="C11" t="str">
        <f t="shared" si="0"/>
        <v>GoldFishingRod_Name</v>
      </c>
      <c r="D11" t="str">
        <f t="shared" si="1"/>
        <v>GoldFishingRod_Description</v>
      </c>
      <c r="E11" s="6" t="s">
        <v>95</v>
      </c>
      <c r="F11" s="6" t="s">
        <v>151</v>
      </c>
      <c r="G11" s="6" t="str" cm="1">
        <f t="array" ref="G11">_xlfn.SWITCH(F11,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"미지정")</f>
        <v>#313131</v>
      </c>
      <c r="H11" t="s">
        <v>104</v>
      </c>
      <c r="I11" t="s">
        <v>88</v>
      </c>
      <c r="J11" t="s">
        <v>96</v>
      </c>
      <c r="K11">
        <v>32</v>
      </c>
      <c r="P11" s="6"/>
      <c r="Q11">
        <v>15000</v>
      </c>
      <c r="R11">
        <v>2</v>
      </c>
      <c r="S11" t="s">
        <v>129</v>
      </c>
      <c r="T11" s="6"/>
    </row>
    <row r="12" spans="1:36" x14ac:dyDescent="0.3">
      <c r="A12">
        <v>7023</v>
      </c>
      <c r="B12" s="5" t="s">
        <v>112</v>
      </c>
      <c r="C12" t="str">
        <f t="shared" si="0"/>
        <v>DiamondFishingRod_Name</v>
      </c>
      <c r="D12" t="str">
        <f t="shared" si="1"/>
        <v>DiamondFishingRod_Description</v>
      </c>
      <c r="E12" s="6" t="s">
        <v>95</v>
      </c>
      <c r="F12" s="6" t="s">
        <v>151</v>
      </c>
      <c r="G12" s="6" t="str" cm="1">
        <f t="array" ref="G12">_xlfn.SWITCH(F12,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"미지정")</f>
        <v>#313131</v>
      </c>
      <c r="H12" t="s">
        <v>104</v>
      </c>
      <c r="I12" t="s">
        <v>88</v>
      </c>
      <c r="J12" t="s">
        <v>96</v>
      </c>
      <c r="K12">
        <v>33</v>
      </c>
      <c r="P12" s="6"/>
      <c r="Q12">
        <v>30000</v>
      </c>
      <c r="R12">
        <v>3</v>
      </c>
      <c r="S12" t="s">
        <v>130</v>
      </c>
      <c r="T12" s="6"/>
    </row>
    <row r="13" spans="1:36" x14ac:dyDescent="0.3">
      <c r="A13">
        <v>7030</v>
      </c>
      <c r="B13" s="5" t="s">
        <v>100</v>
      </c>
      <c r="C13" t="str">
        <f t="shared" si="0"/>
        <v>Pickaxe_Name</v>
      </c>
      <c r="D13" t="str">
        <f t="shared" si="1"/>
        <v>Pickaxe_Description</v>
      </c>
      <c r="E13" s="6" t="s">
        <v>95</v>
      </c>
      <c r="F13" s="6" t="s">
        <v>151</v>
      </c>
      <c r="G13" s="6" t="str" cm="1">
        <f t="array" ref="G13">_xlfn.SWITCH(F13,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"미지정")</f>
        <v>#313131</v>
      </c>
      <c r="H13" t="s">
        <v>105</v>
      </c>
      <c r="I13" t="s">
        <v>88</v>
      </c>
      <c r="J13" t="s">
        <v>96</v>
      </c>
      <c r="K13">
        <v>25</v>
      </c>
      <c r="P13" s="6"/>
      <c r="Q13">
        <v>-1</v>
      </c>
      <c r="R13">
        <v>0</v>
      </c>
      <c r="T13" s="6"/>
    </row>
    <row r="14" spans="1:36" x14ac:dyDescent="0.3">
      <c r="A14">
        <v>7031</v>
      </c>
      <c r="B14" s="5" t="s">
        <v>113</v>
      </c>
      <c r="C14" t="str">
        <f t="shared" si="0"/>
        <v>SteelPickaxe_Name</v>
      </c>
      <c r="D14" t="str">
        <f t="shared" si="1"/>
        <v>SteelPickaxe_Description</v>
      </c>
      <c r="E14" s="6" t="s">
        <v>95</v>
      </c>
      <c r="F14" s="6" t="s">
        <v>151</v>
      </c>
      <c r="G14" s="6" t="str" cm="1">
        <f t="array" ref="G14">_xlfn.SWITCH(F14,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"미지정")</f>
        <v>#313131</v>
      </c>
      <c r="H14" t="s">
        <v>105</v>
      </c>
      <c r="I14" t="s">
        <v>88</v>
      </c>
      <c r="J14" t="s">
        <v>96</v>
      </c>
      <c r="K14">
        <v>26</v>
      </c>
      <c r="P14" s="6"/>
      <c r="Q14">
        <v>5000</v>
      </c>
      <c r="R14">
        <v>1</v>
      </c>
      <c r="S14" t="s">
        <v>131</v>
      </c>
      <c r="T14" s="6"/>
    </row>
    <row r="15" spans="1:36" x14ac:dyDescent="0.3">
      <c r="A15">
        <v>7032</v>
      </c>
      <c r="B15" s="5" t="s">
        <v>114</v>
      </c>
      <c r="C15" t="str">
        <f t="shared" si="0"/>
        <v>GoldPickaxe_Name</v>
      </c>
      <c r="D15" t="str">
        <f t="shared" si="1"/>
        <v>GoldPickaxe_Description</v>
      </c>
      <c r="E15" s="6" t="s">
        <v>95</v>
      </c>
      <c r="F15" s="6" t="s">
        <v>151</v>
      </c>
      <c r="G15" s="6" t="str" cm="1">
        <f t="array" ref="G15">_xlfn.SWITCH(F15,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"미지정")</f>
        <v>#313131</v>
      </c>
      <c r="H15" t="s">
        <v>105</v>
      </c>
      <c r="I15" t="s">
        <v>88</v>
      </c>
      <c r="J15" t="s">
        <v>96</v>
      </c>
      <c r="K15">
        <v>27</v>
      </c>
      <c r="P15" s="6"/>
      <c r="Q15">
        <v>10000</v>
      </c>
      <c r="R15">
        <v>2</v>
      </c>
      <c r="S15" t="s">
        <v>132</v>
      </c>
      <c r="T15" s="6"/>
    </row>
    <row r="16" spans="1:36" x14ac:dyDescent="0.3">
      <c r="A16">
        <v>7033</v>
      </c>
      <c r="B16" s="5" t="s">
        <v>115</v>
      </c>
      <c r="C16" t="str">
        <f t="shared" si="0"/>
        <v>DiamondPickaxe_Name</v>
      </c>
      <c r="D16" t="str">
        <f t="shared" si="1"/>
        <v>DiamondPickaxe_Description</v>
      </c>
      <c r="E16" s="6" t="s">
        <v>95</v>
      </c>
      <c r="F16" s="6" t="s">
        <v>151</v>
      </c>
      <c r="G16" s="6" t="str" cm="1">
        <f t="array" ref="G16">_xlfn.SWITCH(F16,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"미지정")</f>
        <v>#313131</v>
      </c>
      <c r="H16" t="s">
        <v>105</v>
      </c>
      <c r="I16" t="s">
        <v>88</v>
      </c>
      <c r="J16" t="s">
        <v>96</v>
      </c>
      <c r="K16">
        <v>28</v>
      </c>
      <c r="P16" s="6"/>
      <c r="Q16">
        <v>25000</v>
      </c>
      <c r="R16">
        <v>3</v>
      </c>
      <c r="S16" t="s">
        <v>133</v>
      </c>
      <c r="T16" s="6"/>
    </row>
    <row r="17" spans="1:20" x14ac:dyDescent="0.3">
      <c r="A17">
        <v>7040</v>
      </c>
      <c r="B17" s="5" t="s">
        <v>99</v>
      </c>
      <c r="C17" t="str">
        <f t="shared" si="0"/>
        <v>Shovel_Name</v>
      </c>
      <c r="D17" t="str">
        <f t="shared" si="1"/>
        <v>Shovel_Description</v>
      </c>
      <c r="E17" s="6" t="s">
        <v>95</v>
      </c>
      <c r="F17" s="6" t="s">
        <v>151</v>
      </c>
      <c r="G17" s="6" t="str" cm="1">
        <f t="array" ref="G17">_xlfn.SWITCH(F17,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"미지정")</f>
        <v>#313131</v>
      </c>
      <c r="H17" t="s">
        <v>106</v>
      </c>
      <c r="I17" t="s">
        <v>88</v>
      </c>
      <c r="J17" t="s">
        <v>96</v>
      </c>
      <c r="K17">
        <v>20</v>
      </c>
      <c r="P17" s="6"/>
      <c r="Q17">
        <v>-1</v>
      </c>
      <c r="R17">
        <v>0</v>
      </c>
      <c r="T17" s="6"/>
    </row>
    <row r="18" spans="1:20" x14ac:dyDescent="0.3">
      <c r="A18">
        <v>7041</v>
      </c>
      <c r="B18" s="5" t="s">
        <v>116</v>
      </c>
      <c r="C18" t="str">
        <f t="shared" si="0"/>
        <v>SteelShovel_Name</v>
      </c>
      <c r="D18" t="str">
        <f t="shared" si="1"/>
        <v>SteelShovel_Description</v>
      </c>
      <c r="E18" s="6" t="s">
        <v>95</v>
      </c>
      <c r="F18" s="6" t="s">
        <v>151</v>
      </c>
      <c r="G18" s="6" t="str" cm="1">
        <f t="array" ref="G18">_xlfn.SWITCH(F18,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"미지정")</f>
        <v>#313131</v>
      </c>
      <c r="H18" t="s">
        <v>106</v>
      </c>
      <c r="I18" t="s">
        <v>88</v>
      </c>
      <c r="J18" t="s">
        <v>96</v>
      </c>
      <c r="K18">
        <v>21</v>
      </c>
      <c r="P18" s="6"/>
      <c r="Q18">
        <v>5000</v>
      </c>
      <c r="R18">
        <v>1</v>
      </c>
      <c r="S18" t="s">
        <v>134</v>
      </c>
      <c r="T18" s="6"/>
    </row>
    <row r="19" spans="1:20" x14ac:dyDescent="0.3">
      <c r="A19">
        <v>7042</v>
      </c>
      <c r="B19" s="5" t="s">
        <v>117</v>
      </c>
      <c r="C19" t="str">
        <f t="shared" si="0"/>
        <v>GoldShovel_Name</v>
      </c>
      <c r="D19" t="str">
        <f t="shared" si="1"/>
        <v>GoldShovel_Description</v>
      </c>
      <c r="E19" s="6" t="s">
        <v>95</v>
      </c>
      <c r="F19" s="6" t="s">
        <v>151</v>
      </c>
      <c r="G19" s="6" t="str" cm="1">
        <f t="array" ref="G19">_xlfn.SWITCH(F19,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"미지정")</f>
        <v>#313131</v>
      </c>
      <c r="H19" t="s">
        <v>106</v>
      </c>
      <c r="I19" t="s">
        <v>88</v>
      </c>
      <c r="J19" t="s">
        <v>96</v>
      </c>
      <c r="K19">
        <v>22</v>
      </c>
      <c r="P19" s="6"/>
      <c r="Q19">
        <v>10000</v>
      </c>
      <c r="R19">
        <v>2</v>
      </c>
      <c r="S19" t="s">
        <v>135</v>
      </c>
      <c r="T19" s="6"/>
    </row>
    <row r="20" spans="1:20" x14ac:dyDescent="0.3">
      <c r="A20">
        <v>7043</v>
      </c>
      <c r="B20" s="5" t="s">
        <v>118</v>
      </c>
      <c r="C20" t="str">
        <f t="shared" si="0"/>
        <v>DiamondShovel_Name</v>
      </c>
      <c r="D20" t="str">
        <f t="shared" si="1"/>
        <v>DiamondShovel_Description</v>
      </c>
      <c r="E20" s="6" t="s">
        <v>95</v>
      </c>
      <c r="F20" s="6" t="s">
        <v>151</v>
      </c>
      <c r="G20" s="6" t="str" cm="1">
        <f t="array" ref="G20">_xlfn.SWITCH(F20,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"미지정")</f>
        <v>#313131</v>
      </c>
      <c r="H20" t="s">
        <v>106</v>
      </c>
      <c r="I20" t="s">
        <v>88</v>
      </c>
      <c r="J20" t="s">
        <v>96</v>
      </c>
      <c r="K20">
        <v>23</v>
      </c>
      <c r="P20" s="6"/>
      <c r="Q20">
        <v>25000</v>
      </c>
      <c r="R20">
        <v>3</v>
      </c>
      <c r="S20" t="s">
        <v>136</v>
      </c>
      <c r="T20" s="6"/>
    </row>
    <row r="21" spans="1:20" x14ac:dyDescent="0.3">
      <c r="A21">
        <v>7050</v>
      </c>
      <c r="B21" s="5" t="s">
        <v>97</v>
      </c>
      <c r="C21" t="str">
        <f t="shared" si="0"/>
        <v>WateringCan_Name</v>
      </c>
      <c r="D21" t="str">
        <f t="shared" si="1"/>
        <v>WateringCan_Description</v>
      </c>
      <c r="E21" s="6" t="s">
        <v>95</v>
      </c>
      <c r="F21" s="6" t="s">
        <v>151</v>
      </c>
      <c r="G21" s="6" t="str" cm="1">
        <f t="array" ref="G21">_xlfn.SWITCH(F21,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"미지정")</f>
        <v>#313131</v>
      </c>
      <c r="H21" t="s">
        <v>103</v>
      </c>
      <c r="I21" t="s">
        <v>88</v>
      </c>
      <c r="J21" t="s">
        <v>96</v>
      </c>
      <c r="K21">
        <v>0</v>
      </c>
      <c r="P21" s="6"/>
      <c r="Q21">
        <v>-1</v>
      </c>
      <c r="R21">
        <v>0</v>
      </c>
      <c r="T21" s="6"/>
    </row>
    <row r="22" spans="1:20" x14ac:dyDescent="0.3">
      <c r="A22">
        <v>7051</v>
      </c>
      <c r="B22" s="5" t="s">
        <v>119</v>
      </c>
      <c r="C22" t="str">
        <f t="shared" si="0"/>
        <v>SteelWaterCan_Name</v>
      </c>
      <c r="D22" t="str">
        <f t="shared" si="1"/>
        <v>SteelWaterCan_Description</v>
      </c>
      <c r="E22" s="6" t="s">
        <v>95</v>
      </c>
      <c r="F22" s="6" t="s">
        <v>151</v>
      </c>
      <c r="G22" s="6" t="str" cm="1">
        <f t="array" ref="G22">_xlfn.SWITCH(F22,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"미지정")</f>
        <v>#313131</v>
      </c>
      <c r="H22" t="s">
        <v>103</v>
      </c>
      <c r="I22" t="s">
        <v>88</v>
      </c>
      <c r="J22" t="s">
        <v>96</v>
      </c>
      <c r="K22">
        <v>1</v>
      </c>
      <c r="P22" s="6"/>
      <c r="Q22">
        <v>5000</v>
      </c>
      <c r="R22">
        <v>1</v>
      </c>
      <c r="S22" t="s">
        <v>137</v>
      </c>
      <c r="T22" s="6"/>
    </row>
    <row r="23" spans="1:20" x14ac:dyDescent="0.3">
      <c r="A23">
        <v>7052</v>
      </c>
      <c r="B23" s="5" t="s">
        <v>120</v>
      </c>
      <c r="C23" t="str">
        <f t="shared" si="0"/>
        <v>GoldWateringCan_Name</v>
      </c>
      <c r="D23" t="str">
        <f t="shared" si="1"/>
        <v>GoldWateringCan_Description</v>
      </c>
      <c r="E23" s="6" t="s">
        <v>95</v>
      </c>
      <c r="F23" s="6" t="s">
        <v>151</v>
      </c>
      <c r="G23" s="6" t="str" cm="1">
        <f t="array" ref="G23">_xlfn.SWITCH(F23,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"미지정")</f>
        <v>#313131</v>
      </c>
      <c r="H23" t="s">
        <v>103</v>
      </c>
      <c r="I23" t="s">
        <v>88</v>
      </c>
      <c r="J23" t="s">
        <v>96</v>
      </c>
      <c r="K23">
        <v>2</v>
      </c>
      <c r="P23" s="6"/>
      <c r="Q23">
        <v>10000</v>
      </c>
      <c r="R23">
        <v>2</v>
      </c>
      <c r="S23" t="s">
        <v>138</v>
      </c>
      <c r="T23" s="6"/>
    </row>
    <row r="24" spans="1:20" x14ac:dyDescent="0.3">
      <c r="A24">
        <v>7053</v>
      </c>
      <c r="B24" s="5" t="s">
        <v>121</v>
      </c>
      <c r="C24" t="str">
        <f t="shared" si="0"/>
        <v>DiamondWateringCan_Name</v>
      </c>
      <c r="D24" t="str">
        <f t="shared" si="1"/>
        <v>DiamondWateringCan_Description</v>
      </c>
      <c r="E24" s="6" t="s">
        <v>95</v>
      </c>
      <c r="F24" s="6" t="s">
        <v>151</v>
      </c>
      <c r="G24" s="6" t="str" cm="1">
        <f t="array" ref="G24">_xlfn.SWITCH(F24, "Resource", "#406672", "Animal Product", "#FF0064", "Vegetable", "#FF0064", "Fruit","#FF1493","Flower", "#DB36D3","Forage", "#0A8232","Recipe", "#DC3C00","Fish", "#00008B","Seed", "#A52A2A","Crafting", "#943D28","Mineral", "#6E005A", "Trash", "#696969","BASIC", "#313131","Tool", "#313131","Artisan Goods", "#009B6F", "미지정")</f>
        <v>#313131</v>
      </c>
      <c r="H24" t="s">
        <v>103</v>
      </c>
      <c r="I24" t="s">
        <v>88</v>
      </c>
      <c r="J24" t="s">
        <v>96</v>
      </c>
      <c r="K24">
        <v>3</v>
      </c>
      <c r="P24" s="6"/>
      <c r="Q24">
        <v>25000</v>
      </c>
      <c r="R24">
        <v>3</v>
      </c>
      <c r="S24" t="s">
        <v>139</v>
      </c>
      <c r="T24" s="6"/>
    </row>
    <row r="25" spans="1:20" x14ac:dyDescent="0.3">
      <c r="B25" s="5"/>
      <c r="D25" s="6"/>
      <c r="E25" s="6"/>
      <c r="F25" s="6"/>
      <c r="G25" s="6"/>
      <c r="P25" s="6"/>
      <c r="T25" s="6"/>
    </row>
    <row r="26" spans="1:20" x14ac:dyDescent="0.3">
      <c r="B26" s="5"/>
      <c r="E26" s="6"/>
      <c r="F26" s="6"/>
      <c r="G26" s="6"/>
      <c r="P26" s="6"/>
      <c r="T26" s="6"/>
    </row>
    <row r="27" spans="1:20" x14ac:dyDescent="0.3">
      <c r="B27" s="5"/>
      <c r="E27" s="6"/>
      <c r="F27" s="6"/>
      <c r="G27" s="6"/>
      <c r="P27" s="6"/>
    </row>
    <row r="28" spans="1:20" x14ac:dyDescent="0.3">
      <c r="B28" s="5"/>
      <c r="E28" s="6"/>
      <c r="F28" s="6"/>
      <c r="G28" s="6"/>
      <c r="P28" s="6"/>
    </row>
    <row r="29" spans="1:20" x14ac:dyDescent="0.3">
      <c r="B29" s="5"/>
      <c r="E29" s="6"/>
      <c r="F29" s="6"/>
      <c r="G29" s="6"/>
      <c r="P29" s="6"/>
    </row>
    <row r="30" spans="1:20" x14ac:dyDescent="0.3">
      <c r="B30" s="5"/>
      <c r="E30" s="6"/>
      <c r="F30" s="6"/>
      <c r="G30" s="6"/>
      <c r="P30" s="6"/>
    </row>
    <row r="31" spans="1:20" x14ac:dyDescent="0.3">
      <c r="B31" s="5"/>
      <c r="E31" s="6"/>
      <c r="F31" s="6"/>
      <c r="G31" s="6"/>
      <c r="P31" s="6"/>
    </row>
    <row r="32" spans="1:20" x14ac:dyDescent="0.3">
      <c r="B32" s="5"/>
      <c r="E32" s="6"/>
      <c r="F32" s="6"/>
      <c r="G32" s="6"/>
      <c r="P32" s="6"/>
    </row>
    <row r="33" spans="2:16" x14ac:dyDescent="0.3">
      <c r="B33" s="5"/>
      <c r="E33" s="6"/>
      <c r="F33" s="6"/>
      <c r="G33" s="6"/>
      <c r="P33" s="6"/>
    </row>
    <row r="34" spans="2:16" x14ac:dyDescent="0.3">
      <c r="B34" s="5"/>
      <c r="E34" s="6"/>
      <c r="F34" s="6"/>
      <c r="G34" s="6"/>
      <c r="P34" s="6"/>
    </row>
    <row r="35" spans="2:16" x14ac:dyDescent="0.3">
      <c r="B35" s="5"/>
      <c r="E35" s="6"/>
      <c r="F35" s="6"/>
      <c r="G35" s="6"/>
      <c r="P35" s="6"/>
    </row>
    <row r="36" spans="2:16" x14ac:dyDescent="0.3">
      <c r="B36" s="5"/>
      <c r="E36" s="6"/>
      <c r="F36" s="6"/>
      <c r="G36" s="6"/>
      <c r="P36" s="6"/>
    </row>
    <row r="37" spans="2:16" x14ac:dyDescent="0.3">
      <c r="B37" s="5"/>
      <c r="E37" s="6"/>
      <c r="F37" s="6"/>
      <c r="G37" s="6"/>
      <c r="H37" s="9"/>
      <c r="P37" s="6"/>
    </row>
    <row r="38" spans="2:16" x14ac:dyDescent="0.3">
      <c r="B38" s="5"/>
      <c r="E38" s="6"/>
      <c r="F38" s="6"/>
      <c r="G38" s="6"/>
      <c r="H38" s="9"/>
      <c r="P38" s="6"/>
    </row>
    <row r="39" spans="2:16" x14ac:dyDescent="0.3">
      <c r="B39" s="5"/>
      <c r="E39" s="6"/>
      <c r="F39" s="6"/>
      <c r="G39" s="6"/>
      <c r="H39" s="9"/>
      <c r="P39" s="6"/>
    </row>
    <row r="40" spans="2:16" x14ac:dyDescent="0.3">
      <c r="B40" s="5"/>
      <c r="E40" s="6"/>
      <c r="F40" s="6"/>
      <c r="G40" s="6"/>
      <c r="H40" s="9"/>
      <c r="P40" s="6"/>
    </row>
    <row r="41" spans="2:16" x14ac:dyDescent="0.3">
      <c r="B41" s="5"/>
      <c r="E41" s="6"/>
      <c r="F41" s="6"/>
      <c r="G41" s="6"/>
      <c r="P41" s="6"/>
    </row>
    <row r="42" spans="2:16" x14ac:dyDescent="0.3">
      <c r="B42" s="5"/>
      <c r="E42" s="6"/>
      <c r="F42" s="6"/>
      <c r="G42" s="6"/>
      <c r="P42" s="6"/>
    </row>
    <row r="43" spans="2:16" x14ac:dyDescent="0.3">
      <c r="B43" s="5"/>
      <c r="E43" s="6"/>
      <c r="F43" s="6"/>
      <c r="G43" s="6"/>
      <c r="H43" s="9"/>
      <c r="P43" s="6"/>
    </row>
    <row r="44" spans="2:16" x14ac:dyDescent="0.3">
      <c r="B44" s="5"/>
      <c r="E44" s="6"/>
      <c r="F44" s="6"/>
      <c r="G44" s="6"/>
      <c r="H44" s="9"/>
      <c r="P44" s="6"/>
    </row>
    <row r="45" spans="2:16" x14ac:dyDescent="0.3">
      <c r="B45" s="5"/>
      <c r="E45" s="6"/>
      <c r="F45" s="6"/>
      <c r="G45" s="6"/>
      <c r="H45" s="9"/>
      <c r="P45" s="6"/>
    </row>
    <row r="46" spans="2:16" x14ac:dyDescent="0.3">
      <c r="B46" s="5"/>
      <c r="E46" s="6"/>
      <c r="H46" s="9"/>
      <c r="P46" s="6"/>
    </row>
    <row r="47" spans="2:16" x14ac:dyDescent="0.3">
      <c r="B47" s="5"/>
      <c r="E47" s="6"/>
      <c r="H47" s="9"/>
      <c r="P47" s="6"/>
    </row>
    <row r="48" spans="2:16" x14ac:dyDescent="0.3">
      <c r="B48" s="5"/>
      <c r="E48" s="6"/>
      <c r="H48" s="9"/>
      <c r="P48" s="6"/>
    </row>
    <row r="49" spans="2:16" x14ac:dyDescent="0.3">
      <c r="B49" s="5"/>
      <c r="E49" s="6"/>
      <c r="H49" s="9"/>
      <c r="P49" s="6"/>
    </row>
    <row r="50" spans="2:16" x14ac:dyDescent="0.3">
      <c r="B50" s="5"/>
      <c r="E50" s="6"/>
      <c r="H50" s="9"/>
      <c r="P50" s="6"/>
    </row>
    <row r="51" spans="2:16" x14ac:dyDescent="0.3">
      <c r="B51" s="5"/>
      <c r="E51" s="6"/>
      <c r="H51" s="9"/>
      <c r="P51" s="6"/>
    </row>
    <row r="52" spans="2:16" x14ac:dyDescent="0.3">
      <c r="B52" s="5"/>
      <c r="E52" s="6"/>
      <c r="H52" s="9"/>
      <c r="P52" s="6"/>
    </row>
    <row r="53" spans="2:16" x14ac:dyDescent="0.3">
      <c r="B53" s="5"/>
      <c r="E53" s="6"/>
      <c r="H53" s="9"/>
      <c r="P53" s="6"/>
    </row>
  </sheetData>
  <sortState xmlns:xlrd2="http://schemas.microsoft.com/office/spreadsheetml/2017/richdata2" ref="A5:U24">
    <sortCondition ref="A5:A24"/>
  </sortState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Button 1">
              <controlPr defaultSize="0" print="0" autoFill="0" autoPict="0" macro="[0]!DeleteSpecificValueCells">
                <anchor moveWithCells="1" sizeWithCells="1">
                  <from>
                    <xdr:col>16</xdr:col>
                    <xdr:colOff>0</xdr:colOff>
                    <xdr:row>0</xdr:row>
                    <xdr:rowOff>0</xdr:rowOff>
                  </from>
                  <to>
                    <xdr:col>17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8AD6C-D006-4D27-A024-12C5FA6AC197}">
  <dimension ref="A3:AF15"/>
  <sheetViews>
    <sheetView zoomScale="85" zoomScaleNormal="85" workbookViewId="0">
      <pane ySplit="4" topLeftCell="A5" activePane="bottomLeft" state="frozen"/>
      <selection pane="bottomLeft" activeCell="D40" sqref="D40"/>
    </sheetView>
  </sheetViews>
  <sheetFormatPr defaultRowHeight="16.5" x14ac:dyDescent="0.3"/>
  <cols>
    <col min="1" max="1" width="21.5" bestFit="1" customWidth="1"/>
    <col min="2" max="2" width="16.375" bestFit="1" customWidth="1"/>
    <col min="3" max="3" width="10.25" bestFit="1" customWidth="1"/>
    <col min="4" max="4" width="14.25" bestFit="1" customWidth="1"/>
    <col min="5" max="5" width="16.75" bestFit="1" customWidth="1"/>
    <col min="6" max="6" width="15.375" bestFit="1" customWidth="1"/>
    <col min="7" max="7" width="17.5" bestFit="1" customWidth="1"/>
    <col min="8" max="8" width="17.625" bestFit="1" customWidth="1"/>
    <col min="9" max="9" width="20.125" bestFit="1" customWidth="1"/>
    <col min="10" max="10" width="16.25" bestFit="1" customWidth="1"/>
    <col min="11" max="11" width="16.25" customWidth="1"/>
    <col min="12" max="12" width="9.375" bestFit="1" customWidth="1"/>
    <col min="13" max="13" width="14.375" bestFit="1" customWidth="1"/>
    <col min="14" max="14" width="18.75" style="10" bestFit="1" customWidth="1"/>
    <col min="15" max="15" width="15.625" bestFit="1" customWidth="1"/>
    <col min="16" max="16" width="15" bestFit="1" customWidth="1"/>
    <col min="17" max="17" width="13.375" customWidth="1"/>
    <col min="18" max="18" width="12" bestFit="1" customWidth="1"/>
    <col min="19" max="28" width="13.375" customWidth="1"/>
  </cols>
  <sheetData>
    <row r="3" spans="1:32" ht="17.25" customHeight="1" x14ac:dyDescent="0.3">
      <c r="A3" s="1" t="s">
        <v>79</v>
      </c>
      <c r="B3" s="1"/>
      <c r="C3" s="1"/>
      <c r="D3" s="3"/>
      <c r="E3" s="2"/>
      <c r="H3" s="3"/>
      <c r="I3" s="3"/>
      <c r="J3" s="3"/>
      <c r="K3" s="3"/>
      <c r="L3" s="3"/>
      <c r="M3" s="3"/>
      <c r="N3" s="11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7.25" customHeight="1" x14ac:dyDescent="0.3">
      <c r="A4" s="4" t="s">
        <v>17</v>
      </c>
      <c r="B4" s="4" t="s">
        <v>18</v>
      </c>
      <c r="C4" s="4" t="s">
        <v>63</v>
      </c>
      <c r="D4" s="7" t="s">
        <v>64</v>
      </c>
      <c r="E4" s="4" t="s">
        <v>53</v>
      </c>
      <c r="F4" s="8" t="s">
        <v>54</v>
      </c>
      <c r="G4" s="4" t="s">
        <v>55</v>
      </c>
      <c r="H4" s="4" t="s">
        <v>56</v>
      </c>
      <c r="I4" s="4" t="s">
        <v>57</v>
      </c>
      <c r="J4" s="4" t="s">
        <v>65</v>
      </c>
      <c r="K4" s="4" t="s">
        <v>86</v>
      </c>
      <c r="L4" s="4" t="s">
        <v>87</v>
      </c>
      <c r="M4" s="4" t="s">
        <v>23</v>
      </c>
      <c r="N4" s="7"/>
      <c r="O4" s="4"/>
      <c r="P4" s="4"/>
      <c r="R4" s="3"/>
      <c r="S4" s="3"/>
      <c r="T4" s="3"/>
      <c r="U4" s="3"/>
    </row>
    <row r="5" spans="1:32" x14ac:dyDescent="0.3">
      <c r="A5">
        <f>INDEX(Objects!$A:$A, MATCH(B5, Objects!$B:$B, 0))</f>
        <v>601</v>
      </c>
      <c r="B5" s="5" t="s">
        <v>58</v>
      </c>
      <c r="C5" t="s">
        <v>14</v>
      </c>
      <c r="D5" t="s">
        <v>73</v>
      </c>
      <c r="E5" t="b">
        <v>1</v>
      </c>
      <c r="F5">
        <f>INDEX(Objects!$A:$A,
       MATCH(SUBSTITUTE(B5, " Seeds", ""), Objects!$B:$B, 0))</f>
        <v>302</v>
      </c>
      <c r="G5">
        <v>1</v>
      </c>
      <c r="H5">
        <v>1</v>
      </c>
      <c r="I5">
        <v>0</v>
      </c>
      <c r="J5" t="s">
        <v>76</v>
      </c>
      <c r="K5" t="s">
        <v>88</v>
      </c>
      <c r="L5" t="s">
        <v>77</v>
      </c>
      <c r="M5">
        <v>0</v>
      </c>
    </row>
    <row r="6" spans="1:32" x14ac:dyDescent="0.3">
      <c r="A6">
        <f>INDEX(Objects!$A:$A, MATCH(B6, Objects!$B:$B, 0))</f>
        <v>602</v>
      </c>
      <c r="B6" s="5" t="s">
        <v>1</v>
      </c>
      <c r="C6" t="s">
        <v>14</v>
      </c>
      <c r="D6" t="s">
        <v>80</v>
      </c>
      <c r="E6" t="b">
        <v>1</v>
      </c>
      <c r="F6">
        <f>INDEX(Objects!$A:$A,
       MATCH(SUBSTITUTE(B6, " Seeds", ""), Objects!$B:$B, 0))</f>
        <v>303</v>
      </c>
      <c r="G6">
        <v>1</v>
      </c>
      <c r="H6">
        <v>1</v>
      </c>
      <c r="I6">
        <v>0</v>
      </c>
      <c r="J6" t="s">
        <v>75</v>
      </c>
      <c r="K6" t="s">
        <v>88</v>
      </c>
      <c r="L6" t="s">
        <v>77</v>
      </c>
      <c r="M6">
        <v>8</v>
      </c>
    </row>
    <row r="7" spans="1:32" x14ac:dyDescent="0.3">
      <c r="A7">
        <f>INDEX(Objects!$A:$A, MATCH(B7, Objects!$B:$B, 0))</f>
        <v>603</v>
      </c>
      <c r="B7" s="5" t="s">
        <v>59</v>
      </c>
      <c r="C7" t="s">
        <v>66</v>
      </c>
      <c r="D7" t="s">
        <v>81</v>
      </c>
      <c r="E7" t="b">
        <v>1</v>
      </c>
      <c r="F7">
        <f>INDEX(Objects!$A:$A,
       MATCH(SUBSTITUTE(B7, " Seeds", ""), Objects!$B:$B, 0))</f>
        <v>304</v>
      </c>
      <c r="G7">
        <v>1</v>
      </c>
      <c r="H7">
        <v>1</v>
      </c>
      <c r="I7">
        <v>0</v>
      </c>
      <c r="J7" t="s">
        <v>75</v>
      </c>
      <c r="K7" t="s">
        <v>88</v>
      </c>
      <c r="L7" t="s">
        <v>77</v>
      </c>
      <c r="M7">
        <v>16</v>
      </c>
    </row>
    <row r="8" spans="1:32" x14ac:dyDescent="0.3">
      <c r="A8">
        <f>INDEX(Objects!$A:$A, MATCH(B8, Objects!$B:$B, 0))</f>
        <v>604</v>
      </c>
      <c r="B8" s="5" t="s">
        <v>60</v>
      </c>
      <c r="C8" t="s">
        <v>68</v>
      </c>
      <c r="D8" t="s">
        <v>70</v>
      </c>
      <c r="E8" t="b">
        <v>1</v>
      </c>
      <c r="F8">
        <f>INDEX(Objects!$A:$A,
       MATCH(SUBSTITUTE(B8, " Seeds", ""), Objects!$B:$B, 0))</f>
        <v>305</v>
      </c>
      <c r="G8">
        <v>1</v>
      </c>
      <c r="H8">
        <v>1</v>
      </c>
      <c r="I8">
        <v>0</v>
      </c>
      <c r="J8" t="s">
        <v>75</v>
      </c>
      <c r="K8" t="s">
        <v>88</v>
      </c>
      <c r="L8" t="s">
        <v>77</v>
      </c>
      <c r="M8">
        <v>24</v>
      </c>
    </row>
    <row r="9" spans="1:32" x14ac:dyDescent="0.3">
      <c r="A9">
        <f>INDEX(Objects!$A:$A, MATCH(B9, Objects!$B:$B, 0))</f>
        <v>605</v>
      </c>
      <c r="B9" s="5" t="s">
        <v>4</v>
      </c>
      <c r="C9" t="s">
        <v>15</v>
      </c>
      <c r="D9" t="s">
        <v>71</v>
      </c>
      <c r="E9" t="b">
        <v>1</v>
      </c>
      <c r="F9">
        <f>INDEX(Objects!$A:$A,
       MATCH(SUBSTITUTE(B9, " Seeds", ""), Objects!$B:$B, 0))</f>
        <v>306</v>
      </c>
      <c r="G9">
        <v>1</v>
      </c>
      <c r="H9">
        <v>1</v>
      </c>
      <c r="I9">
        <v>0</v>
      </c>
      <c r="J9" t="s">
        <v>75</v>
      </c>
      <c r="K9" t="s">
        <v>88</v>
      </c>
      <c r="L9" t="s">
        <v>77</v>
      </c>
      <c r="M9">
        <v>32</v>
      </c>
    </row>
    <row r="10" spans="1:32" x14ac:dyDescent="0.3">
      <c r="A10">
        <f>INDEX(Objects!$A:$A, MATCH(B10, Objects!$B:$B, 0))</f>
        <v>606</v>
      </c>
      <c r="B10" s="5" t="s">
        <v>0</v>
      </c>
      <c r="C10" t="s">
        <v>14</v>
      </c>
      <c r="D10" t="s">
        <v>73</v>
      </c>
      <c r="E10" t="b">
        <v>1</v>
      </c>
      <c r="F10">
        <f>INDEX(Objects!$A:$A,
       MATCH(SUBSTITUTE(B10, " Seeds", ""), Objects!$B:$B, 0))</f>
        <v>307</v>
      </c>
      <c r="G10">
        <v>1</v>
      </c>
      <c r="H10">
        <v>1</v>
      </c>
      <c r="I10">
        <v>0</v>
      </c>
      <c r="J10" t="s">
        <v>75</v>
      </c>
      <c r="K10" t="s">
        <v>88</v>
      </c>
      <c r="L10" t="s">
        <v>77</v>
      </c>
      <c r="M10">
        <v>40</v>
      </c>
    </row>
    <row r="11" spans="1:32" x14ac:dyDescent="0.3">
      <c r="A11">
        <f>INDEX(Objects!$A:$A, MATCH(B11, Objects!$B:$B, 0))</f>
        <v>607</v>
      </c>
      <c r="B11" s="5" t="s">
        <v>2</v>
      </c>
      <c r="C11" t="s">
        <v>14</v>
      </c>
      <c r="D11" t="s">
        <v>82</v>
      </c>
      <c r="E11" t="b">
        <v>1</v>
      </c>
      <c r="F11">
        <f>INDEX(Objects!$A:$A,
       MATCH(SUBSTITUTE(B11, " Seeds", ""), Objects!$B:$B, 0))</f>
        <v>308</v>
      </c>
      <c r="G11">
        <v>1</v>
      </c>
      <c r="H11">
        <v>1</v>
      </c>
      <c r="I11">
        <v>0.2</v>
      </c>
      <c r="J11" t="s">
        <v>75</v>
      </c>
      <c r="K11" t="s">
        <v>88</v>
      </c>
      <c r="L11" t="s">
        <v>77</v>
      </c>
      <c r="M11">
        <v>48</v>
      </c>
    </row>
    <row r="12" spans="1:32" x14ac:dyDescent="0.3">
      <c r="A12">
        <f>INDEX(Objects!$A:$A, MATCH(B12, Objects!$B:$B, 0))</f>
        <v>608</v>
      </c>
      <c r="B12" s="5" t="s">
        <v>61</v>
      </c>
      <c r="C12" t="s">
        <v>15</v>
      </c>
      <c r="D12" t="s">
        <v>83</v>
      </c>
      <c r="E12" t="b">
        <v>1</v>
      </c>
      <c r="F12">
        <f>INDEX(Objects!$A:$A,
       MATCH(SUBSTITUTE(B12, " Seeds", ""), Objects!$B:$B, 0))</f>
        <v>309</v>
      </c>
      <c r="G12">
        <v>1</v>
      </c>
      <c r="H12">
        <v>1</v>
      </c>
      <c r="I12">
        <v>0</v>
      </c>
      <c r="J12" t="s">
        <v>75</v>
      </c>
      <c r="K12" t="s">
        <v>88</v>
      </c>
      <c r="L12" t="s">
        <v>77</v>
      </c>
      <c r="M12">
        <v>56</v>
      </c>
    </row>
    <row r="13" spans="1:32" x14ac:dyDescent="0.3">
      <c r="A13">
        <f>INDEX(Objects!$A:$A, MATCH(B13, Objects!$B:$B, 0))</f>
        <v>609</v>
      </c>
      <c r="B13" s="5" t="s">
        <v>62</v>
      </c>
      <c r="C13" t="s">
        <v>66</v>
      </c>
      <c r="D13" t="s">
        <v>72</v>
      </c>
      <c r="E13" t="b">
        <v>1</v>
      </c>
      <c r="F13">
        <f>INDEX(Objects!$A:$A,
       MATCH(SUBSTITUTE(B13, " Seeds", ""), Objects!$B:$B, 0))</f>
        <v>310</v>
      </c>
      <c r="G13">
        <v>1</v>
      </c>
      <c r="H13">
        <v>1</v>
      </c>
      <c r="I13">
        <v>0</v>
      </c>
      <c r="J13" t="s">
        <v>75</v>
      </c>
      <c r="K13" t="s">
        <v>88</v>
      </c>
      <c r="L13" t="s">
        <v>77</v>
      </c>
      <c r="M13">
        <v>64</v>
      </c>
    </row>
    <row r="14" spans="1:32" x14ac:dyDescent="0.3">
      <c r="A14">
        <f>INDEX(Objects!$A:$A, MATCH(B14, Objects!$B:$B, 0))</f>
        <v>610</v>
      </c>
      <c r="B14" s="5" t="s">
        <v>8</v>
      </c>
      <c r="C14" t="s">
        <v>67</v>
      </c>
      <c r="D14" t="s">
        <v>73</v>
      </c>
      <c r="E14" t="b">
        <v>1</v>
      </c>
      <c r="F14">
        <f>INDEX(Objects!$A:$A,
       MATCH(SUBSTITUTE(B14, " Seeds", ""), Objects!$B:$B, 0))</f>
        <v>311</v>
      </c>
      <c r="G14">
        <v>1</v>
      </c>
      <c r="H14">
        <v>1</v>
      </c>
      <c r="I14">
        <v>0</v>
      </c>
      <c r="J14" t="s">
        <v>75</v>
      </c>
      <c r="K14" t="s">
        <v>88</v>
      </c>
      <c r="L14" t="s">
        <v>77</v>
      </c>
      <c r="M14">
        <v>72</v>
      </c>
    </row>
    <row r="15" spans="1:32" x14ac:dyDescent="0.3">
      <c r="A15">
        <f>INDEX(Objects!$A:$A, MATCH(B15, Objects!$B:$B, 0))</f>
        <v>611</v>
      </c>
      <c r="B15" s="5" t="s">
        <v>3</v>
      </c>
      <c r="C15" t="s">
        <v>69</v>
      </c>
      <c r="D15" t="s">
        <v>74</v>
      </c>
      <c r="E15" t="b">
        <v>1</v>
      </c>
      <c r="F15">
        <f>INDEX(Objects!$A:$A,
       MATCH(SUBSTITUTE(B15, " Seeds", ""), Objects!$B:$B, 0))</f>
        <v>312</v>
      </c>
      <c r="G15">
        <v>1</v>
      </c>
      <c r="H15">
        <v>1</v>
      </c>
      <c r="I15">
        <v>0</v>
      </c>
      <c r="J15" t="s">
        <v>75</v>
      </c>
      <c r="K15" t="s">
        <v>88</v>
      </c>
      <c r="L15" t="s">
        <v>77</v>
      </c>
      <c r="M15">
        <v>80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Button 1">
              <controlPr defaultSize="0" print="0" autoFill="0" autoPict="0" macro="[0]!DeleteSpecificValueCells">
                <anchor moveWithCells="1" sizeWithCells="1">
                  <from>
                    <xdr:col>5</xdr:col>
                    <xdr:colOff>0</xdr:colOff>
                    <xdr:row>0</xdr:row>
                    <xdr:rowOff>0</xdr:rowOff>
                  </from>
                  <to>
                    <xdr:col>8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8E9B5-8DF3-4A27-BCBE-50E6A0712D00}">
  <dimension ref="A3:W53"/>
  <sheetViews>
    <sheetView tabSelected="1" zoomScale="85" zoomScaleNormal="85" workbookViewId="0">
      <pane xSplit="2" ySplit="3" topLeftCell="C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6.5" x14ac:dyDescent="0.3"/>
  <cols>
    <col min="1" max="1" width="12.125" bestFit="1" customWidth="1"/>
    <col min="2" max="2" width="27.5" bestFit="1" customWidth="1"/>
    <col min="3" max="3" width="12.875" bestFit="1" customWidth="1"/>
    <col min="4" max="4" width="28.25" bestFit="1" customWidth="1"/>
    <col min="5" max="5" width="14.375" bestFit="1" customWidth="1"/>
    <col min="6" max="6" width="17" bestFit="1" customWidth="1"/>
    <col min="7" max="7" width="15" bestFit="1" customWidth="1"/>
    <col min="8" max="8" width="13.375" customWidth="1"/>
    <col min="9" max="9" width="12" bestFit="1" customWidth="1"/>
    <col min="10" max="19" width="13.375" customWidth="1"/>
  </cols>
  <sheetData>
    <row r="3" spans="1:23" ht="17.25" customHeight="1" x14ac:dyDescent="0.3">
      <c r="A3" s="1" t="s">
        <v>178</v>
      </c>
      <c r="B3" s="1"/>
      <c r="C3" s="2"/>
      <c r="D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7.25" customHeight="1" x14ac:dyDescent="0.3">
      <c r="A4" s="4" t="s">
        <v>17</v>
      </c>
      <c r="B4" s="4" t="s">
        <v>18</v>
      </c>
      <c r="C4" s="4" t="s">
        <v>153</v>
      </c>
      <c r="D4" s="4" t="s">
        <v>181</v>
      </c>
      <c r="E4" s="8" t="s">
        <v>177</v>
      </c>
      <c r="F4" s="4"/>
      <c r="G4" s="4"/>
      <c r="I4" s="3"/>
      <c r="J4" s="3"/>
      <c r="K4" s="3"/>
      <c r="L4" s="3"/>
    </row>
    <row r="5" spans="1:23" x14ac:dyDescent="0.3">
      <c r="A5">
        <v>801</v>
      </c>
      <c r="B5" s="5" t="s">
        <v>170</v>
      </c>
      <c r="C5" t="s">
        <v>155</v>
      </c>
      <c r="D5" s="13" t="s">
        <v>165</v>
      </c>
      <c r="E5">
        <v>327</v>
      </c>
      <c r="G5" s="6"/>
    </row>
    <row r="6" spans="1:23" x14ac:dyDescent="0.3">
      <c r="A6">
        <v>802</v>
      </c>
      <c r="B6" s="5" t="s">
        <v>171</v>
      </c>
      <c r="C6" t="s">
        <v>155</v>
      </c>
      <c r="D6" t="s">
        <v>166</v>
      </c>
      <c r="E6">
        <v>328</v>
      </c>
      <c r="G6" s="6"/>
    </row>
    <row r="7" spans="1:23" x14ac:dyDescent="0.3">
      <c r="A7">
        <v>803</v>
      </c>
      <c r="B7" s="5" t="s">
        <v>172</v>
      </c>
      <c r="C7" t="s">
        <v>155</v>
      </c>
      <c r="D7" t="s">
        <v>167</v>
      </c>
      <c r="E7">
        <v>329</v>
      </c>
      <c r="G7" s="6"/>
    </row>
    <row r="8" spans="1:23" x14ac:dyDescent="0.3">
      <c r="A8">
        <v>804</v>
      </c>
      <c r="B8" s="5" t="s">
        <v>173</v>
      </c>
      <c r="C8" t="s">
        <v>155</v>
      </c>
      <c r="D8" t="s">
        <v>168</v>
      </c>
      <c r="E8">
        <v>330</v>
      </c>
      <c r="F8" s="12"/>
      <c r="G8" s="6"/>
    </row>
    <row r="9" spans="1:23" x14ac:dyDescent="0.3">
      <c r="A9">
        <v>805</v>
      </c>
      <c r="B9" s="5" t="s">
        <v>174</v>
      </c>
      <c r="C9" t="s">
        <v>155</v>
      </c>
      <c r="D9" t="s">
        <v>169</v>
      </c>
      <c r="E9">
        <v>331</v>
      </c>
      <c r="G9" s="6"/>
    </row>
    <row r="10" spans="1:23" x14ac:dyDescent="0.3">
      <c r="B10" s="5"/>
      <c r="G10" s="6"/>
    </row>
    <row r="11" spans="1:23" x14ac:dyDescent="0.3">
      <c r="B11" s="5"/>
      <c r="G11" s="6"/>
    </row>
    <row r="12" spans="1:23" x14ac:dyDescent="0.3">
      <c r="B12" s="5"/>
      <c r="G12" s="6"/>
    </row>
    <row r="13" spans="1:23" x14ac:dyDescent="0.3">
      <c r="B13" s="5"/>
      <c r="G13" s="6"/>
    </row>
    <row r="14" spans="1:23" x14ac:dyDescent="0.3">
      <c r="B14" s="5"/>
      <c r="G14" s="6"/>
    </row>
    <row r="15" spans="1:23" x14ac:dyDescent="0.3">
      <c r="B15" s="5"/>
      <c r="G15" s="6"/>
    </row>
    <row r="16" spans="1:23" x14ac:dyDescent="0.3">
      <c r="B16" s="5"/>
      <c r="G16" s="6"/>
    </row>
    <row r="17" spans="2:7" x14ac:dyDescent="0.3">
      <c r="B17" s="5"/>
      <c r="G17" s="6"/>
    </row>
    <row r="18" spans="2:7" x14ac:dyDescent="0.3">
      <c r="B18" s="5"/>
      <c r="G18" s="6"/>
    </row>
    <row r="19" spans="2:7" x14ac:dyDescent="0.3">
      <c r="B19" s="5"/>
      <c r="G19" s="6"/>
    </row>
    <row r="20" spans="2:7" x14ac:dyDescent="0.3">
      <c r="B20" s="5"/>
      <c r="G20" s="6"/>
    </row>
    <row r="21" spans="2:7" x14ac:dyDescent="0.3">
      <c r="B21" s="5"/>
      <c r="G21" s="6"/>
    </row>
    <row r="22" spans="2:7" x14ac:dyDescent="0.3">
      <c r="B22" s="5"/>
      <c r="G22" s="6"/>
    </row>
    <row r="23" spans="2:7" x14ac:dyDescent="0.3">
      <c r="B23" s="5"/>
      <c r="G23" s="6"/>
    </row>
    <row r="24" spans="2:7" x14ac:dyDescent="0.3">
      <c r="B24" s="5"/>
      <c r="G24" s="6"/>
    </row>
    <row r="25" spans="2:7" x14ac:dyDescent="0.3">
      <c r="B25" s="5"/>
      <c r="G25" s="6"/>
    </row>
    <row r="26" spans="2:7" x14ac:dyDescent="0.3">
      <c r="B26" s="5"/>
      <c r="G26" s="6"/>
    </row>
    <row r="27" spans="2:7" x14ac:dyDescent="0.3">
      <c r="B27" s="5"/>
    </row>
    <row r="28" spans="2:7" x14ac:dyDescent="0.3">
      <c r="B28" s="5"/>
    </row>
    <row r="29" spans="2:7" x14ac:dyDescent="0.3">
      <c r="B29" s="5"/>
    </row>
    <row r="30" spans="2:7" x14ac:dyDescent="0.3">
      <c r="B30" s="5"/>
    </row>
    <row r="31" spans="2:7" x14ac:dyDescent="0.3">
      <c r="B31" s="5"/>
    </row>
    <row r="32" spans="2:7" x14ac:dyDescent="0.3">
      <c r="B32" s="5"/>
    </row>
    <row r="33" spans="2:3" x14ac:dyDescent="0.3">
      <c r="B33" s="5"/>
    </row>
    <row r="34" spans="2:3" x14ac:dyDescent="0.3">
      <c r="B34" s="5"/>
    </row>
    <row r="35" spans="2:3" x14ac:dyDescent="0.3">
      <c r="B35" s="5"/>
    </row>
    <row r="36" spans="2:3" x14ac:dyDescent="0.3">
      <c r="B36" s="5"/>
    </row>
    <row r="37" spans="2:3" x14ac:dyDescent="0.3">
      <c r="B37" s="5"/>
      <c r="C37" s="9"/>
    </row>
    <row r="38" spans="2:3" x14ac:dyDescent="0.3">
      <c r="B38" s="5"/>
      <c r="C38" s="9"/>
    </row>
    <row r="39" spans="2:3" x14ac:dyDescent="0.3">
      <c r="B39" s="5"/>
      <c r="C39" s="9"/>
    </row>
    <row r="40" spans="2:3" x14ac:dyDescent="0.3">
      <c r="B40" s="5"/>
      <c r="C40" s="9"/>
    </row>
    <row r="41" spans="2:3" x14ac:dyDescent="0.3">
      <c r="B41" s="5"/>
    </row>
    <row r="42" spans="2:3" x14ac:dyDescent="0.3">
      <c r="B42" s="5"/>
    </row>
    <row r="43" spans="2:3" x14ac:dyDescent="0.3">
      <c r="B43" s="5"/>
      <c r="C43" s="9"/>
    </row>
    <row r="44" spans="2:3" x14ac:dyDescent="0.3">
      <c r="B44" s="5"/>
      <c r="C44" s="9"/>
    </row>
    <row r="45" spans="2:3" x14ac:dyDescent="0.3">
      <c r="B45" s="5"/>
      <c r="C45" s="9"/>
    </row>
    <row r="46" spans="2:3" x14ac:dyDescent="0.3">
      <c r="B46" s="5"/>
      <c r="C46" s="9"/>
    </row>
    <row r="47" spans="2:3" x14ac:dyDescent="0.3">
      <c r="B47" s="5"/>
      <c r="C47" s="9"/>
    </row>
    <row r="48" spans="2:3" x14ac:dyDescent="0.3">
      <c r="B48" s="5"/>
      <c r="C48" s="9"/>
    </row>
    <row r="49" spans="2:3" x14ac:dyDescent="0.3">
      <c r="B49" s="5"/>
      <c r="C49" s="9"/>
    </row>
    <row r="50" spans="2:3" x14ac:dyDescent="0.3">
      <c r="B50" s="5"/>
      <c r="C50" s="9"/>
    </row>
    <row r="51" spans="2:3" x14ac:dyDescent="0.3">
      <c r="B51" s="5"/>
      <c r="C51" s="9"/>
    </row>
    <row r="52" spans="2:3" x14ac:dyDescent="0.3">
      <c r="B52" s="5"/>
      <c r="C52" s="9"/>
    </row>
    <row r="53" spans="2:3" x14ac:dyDescent="0.3">
      <c r="B53" s="5"/>
      <c r="C53" s="9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6" r:id="rId4" name="Button 2">
              <controlPr defaultSize="0" print="0" autoFill="0" autoPict="0" macro="[0]!DeleteSpecificValueCells">
                <anchor moveWithCells="1" sizeWithCells="1">
                  <from>
                    <xdr:col>4</xdr:col>
                    <xdr:colOff>0</xdr:colOff>
                    <xdr:row>0</xdr:row>
                    <xdr:rowOff>0</xdr:rowOff>
                  </from>
                  <to>
                    <xdr:col>5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5" r:id="rId5" name="Button 1">
              <controlPr defaultSize="0" print="0" autoFill="0" autoPict="0" macro="[0]!DeleteSpecificValueCells">
                <anchor moveWithCells="1" sizeWithCells="1">
                  <from>
                    <xdr:col>3</xdr:col>
                    <xdr:colOff>0</xdr:colOff>
                    <xdr:row>0</xdr:row>
                    <xdr:rowOff>0</xdr:rowOff>
                  </from>
                  <to>
                    <xdr:col>3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Objects</vt:lpstr>
      <vt:lpstr>Tools</vt:lpstr>
      <vt:lpstr>Crops</vt:lpstr>
      <vt:lpstr>Recipes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Jung-ah Kim</dc:creator>
  <cp:lastModifiedBy>은영 길</cp:lastModifiedBy>
  <dcterms:created xsi:type="dcterms:W3CDTF">2022-06-22T05:46:53Z</dcterms:created>
  <dcterms:modified xsi:type="dcterms:W3CDTF">2026-04-16T03:36:13Z</dcterms:modified>
</cp:coreProperties>
</file>